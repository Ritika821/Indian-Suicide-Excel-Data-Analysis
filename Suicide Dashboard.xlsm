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tables/table4.xml" ContentType="application/vnd.openxmlformats-officedocument.spreadsheetml.table+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d.docs.live.net/62dce04ddba3bcba/"/>
    </mc:Choice>
  </mc:AlternateContent>
  <xr:revisionPtr revIDLastSave="192" documentId="8_{6BEC45BC-B3FC-42D2-A7CB-B0DA9C13367B}" xr6:coauthVersionLast="47" xr6:coauthVersionMax="47" xr10:uidLastSave="{CC9D38FF-B6FB-4055-9A5D-571FFFC1DB2F}"/>
  <bookViews>
    <workbookView xWindow="-108" yWindow="-108" windowWidth="23256" windowHeight="12456" tabRatio="616" firstSheet="2" activeTab="3" xr2:uid="{FD3184CB-2403-40CF-8A87-61D5880BC8D9}"/>
  </bookViews>
  <sheets>
    <sheet name="Total State,UT" sheetId="12" r:id="rId1"/>
    <sheet name="State,UT" sheetId="8" r:id="rId2"/>
    <sheet name="Pivot Table" sheetId="22" r:id="rId3"/>
    <sheet name="5 Years Trend Dashboard" sheetId="26" r:id="rId4"/>
    <sheet name="Modes &amp; Causes Dashboard" sheetId="27" r:id="rId5"/>
    <sheet name="Profession Education Dashboard" sheetId="28" r:id="rId6"/>
  </sheets>
  <definedNames>
    <definedName name="_xlnm._FilterDatabase" localSheetId="1" hidden="1">'State,UT'!$A$1:$E$38</definedName>
    <definedName name="_xlnm._FilterDatabase" localSheetId="0" hidden="1">'Total State,UT'!$A$1:$B$1</definedName>
    <definedName name="_xlchart.v5.0" hidden="1">'State,UT'!$A$1</definedName>
    <definedName name="_xlchart.v5.1" hidden="1">'State,UT'!$A$2:$A$191</definedName>
    <definedName name="_xlchart.v5.2" hidden="1">'State,UT'!$D$1</definedName>
    <definedName name="_xlchart.v5.3" hidden="1">'State,UT'!$D$2:$D$191</definedName>
    <definedName name="_xlcn.WorksheetConnection_Dash.xlsxTable21" hidden="1">Table2[]</definedName>
    <definedName name="ExternalData_1" localSheetId="1" hidden="1">'State,UT'!$A$1:$D$191</definedName>
    <definedName name="Slicer_Gender">#N/A</definedName>
    <definedName name="Slicer_Growth_Rate">#N/A</definedName>
    <definedName name="Slicer_No._of_Suicide">#N/A</definedName>
    <definedName name="Slicer_State">#N/A</definedName>
    <definedName name="Slicer_State_or_Union_Territory">#N/A</definedName>
    <definedName name="Slicer_Years">#N/A</definedName>
    <definedName name="State" localSheetId="3">State_UT[#All]</definedName>
    <definedName name="State" localSheetId="4">State_UT[#All]</definedName>
    <definedName name="State" localSheetId="5">State_UT[#All]</definedName>
    <definedName name="State">State_UT[#All]</definedName>
    <definedName name="STATEUT">#REF!</definedName>
    <definedName name="Table3">'State,UT'!$A$1:$F$191</definedName>
  </definedNames>
  <calcPr calcId="191029"/>
  <pivotCaches>
    <pivotCache cacheId="75" r:id="rId7"/>
    <pivotCache cacheId="78" r:id="rId8"/>
    <pivotCache cacheId="81" r:id="rId9"/>
    <pivotCache cacheId="84" r:id="rId10"/>
    <pivotCache cacheId="87" r:id="rId11"/>
    <pivotCache cacheId="90" r:id="rId12"/>
    <pivotCache cacheId="93" r:id="rId13"/>
  </pivotCaches>
  <extLst>
    <ext xmlns:x14="http://schemas.microsoft.com/office/spreadsheetml/2009/9/main" uri="{876F7934-8845-4945-9796-88D515C7AA90}">
      <x14:pivotCaches>
        <pivotCache cacheId="7"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Dash.xlsx!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81" i="8" l="1"/>
  <c r="E77" i="8"/>
  <c r="F77" i="8" s="1"/>
  <c r="H1207" i="12"/>
  <c r="H902" i="12"/>
  <c r="H2493" i="12"/>
  <c r="H2245" i="12"/>
  <c r="H2087" i="12"/>
  <c r="H1931" i="12"/>
  <c r="H1827" i="12"/>
  <c r="H1475" i="12"/>
  <c r="H1210" i="12"/>
  <c r="H1110" i="12"/>
  <c r="H1008" i="12"/>
  <c r="H905" i="12"/>
  <c r="H641" i="12"/>
  <c r="H545" i="12"/>
  <c r="H377" i="12"/>
  <c r="H55" i="12"/>
  <c r="H2660" i="12"/>
  <c r="H2571" i="12"/>
  <c r="H2492" i="12"/>
  <c r="H2244" i="12"/>
  <c r="H2086" i="12"/>
  <c r="H1930" i="12"/>
  <c r="H1826" i="12"/>
  <c r="H1474" i="12"/>
  <c r="H1209" i="12"/>
  <c r="H1109" i="12"/>
  <c r="H1007" i="12"/>
  <c r="H904" i="12"/>
  <c r="H640" i="12"/>
  <c r="H544" i="12"/>
  <c r="H376" i="12"/>
  <c r="H54" i="12"/>
  <c r="H1500" i="12"/>
  <c r="H85" i="12"/>
  <c r="H2520" i="12"/>
  <c r="H2272" i="12"/>
  <c r="H2114" i="12"/>
  <c r="H1687" i="12"/>
  <c r="H1499" i="12"/>
  <c r="H1137" i="12"/>
  <c r="H934" i="12"/>
  <c r="H403" i="12"/>
  <c r="H84" i="12"/>
  <c r="H2576" i="12"/>
  <c r="H2497" i="12"/>
  <c r="H2249" i="12"/>
  <c r="H2177" i="12"/>
  <c r="H2091" i="12"/>
  <c r="H2010" i="12"/>
  <c r="H1935" i="12"/>
  <c r="H1833" i="12"/>
  <c r="H1664" i="12"/>
  <c r="H1570" i="12"/>
  <c r="H1479" i="12"/>
  <c r="H1215" i="12"/>
  <c r="H1114" i="12"/>
  <c r="H1013" i="12"/>
  <c r="H910" i="12"/>
  <c r="H813" i="12"/>
  <c r="H722" i="12"/>
  <c r="H645" i="12"/>
  <c r="H550" i="12"/>
  <c r="H381" i="12"/>
  <c r="H294" i="12"/>
  <c r="H216" i="12"/>
  <c r="H59" i="12"/>
  <c r="H2664" i="12"/>
  <c r="H2575" i="12"/>
  <c r="H2496" i="12"/>
  <c r="H2310" i="12"/>
  <c r="H2248" i="12"/>
  <c r="H2176" i="12"/>
  <c r="H2090" i="12"/>
  <c r="H2009" i="12"/>
  <c r="H1934" i="12"/>
  <c r="H1832" i="12"/>
  <c r="H1736" i="12"/>
  <c r="H1773" i="12"/>
  <c r="H1774" i="12"/>
  <c r="H1778" i="12"/>
  <c r="H1711" i="12"/>
  <c r="H1663" i="12"/>
  <c r="H1569" i="12"/>
  <c r="H1478" i="12"/>
  <c r="H1331" i="12"/>
  <c r="H1214" i="12"/>
  <c r="H1113" i="12"/>
  <c r="H1012" i="12"/>
  <c r="H909" i="12"/>
  <c r="H812" i="12"/>
  <c r="H721" i="12"/>
  <c r="H644" i="12"/>
  <c r="H549" i="12"/>
  <c r="H458" i="12"/>
  <c r="H380" i="12"/>
  <c r="H293" i="12"/>
  <c r="H215" i="12"/>
  <c r="H132" i="12"/>
  <c r="H58" i="12"/>
  <c r="H2041" i="12"/>
  <c r="H2037" i="12"/>
  <c r="H1894" i="12"/>
  <c r="H1779" i="12"/>
  <c r="H10" i="12"/>
  <c r="H2448" i="12"/>
  <c r="H2452" i="12"/>
  <c r="H2036" i="12"/>
  <c r="H2040" i="12"/>
  <c r="H1618" i="12"/>
  <c r="H1158" i="12"/>
  <c r="H1163" i="12"/>
  <c r="H1060" i="12"/>
  <c r="H956" i="12"/>
  <c r="H853" i="12"/>
  <c r="H493" i="12"/>
  <c r="H260" i="12"/>
  <c r="H4" i="12"/>
  <c r="H9" i="12"/>
  <c r="F7" i="8"/>
  <c r="F8" i="8"/>
  <c r="F9" i="8"/>
  <c r="F10" i="8"/>
  <c r="F11" i="8"/>
  <c r="F12" i="8"/>
  <c r="F13" i="8"/>
  <c r="F14" i="8"/>
  <c r="F15" i="8"/>
  <c r="F16"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72" i="8"/>
  <c r="F73" i="8"/>
  <c r="F74" i="8"/>
  <c r="F75" i="8"/>
  <c r="F76" i="8"/>
  <c r="F78" i="8"/>
  <c r="F79" i="8"/>
  <c r="F80" i="8"/>
  <c r="F82" i="8"/>
  <c r="F83" i="8"/>
  <c r="F84" i="8"/>
  <c r="F85" i="8"/>
  <c r="F86" i="8"/>
  <c r="F87" i="8"/>
  <c r="F88" i="8"/>
  <c r="F89" i="8"/>
  <c r="F90" i="8"/>
  <c r="F91" i="8"/>
  <c r="F92" i="8"/>
  <c r="F93" i="8"/>
  <c r="F94" i="8"/>
  <c r="F95" i="8"/>
  <c r="F96" i="8"/>
  <c r="F97" i="8"/>
  <c r="F98" i="8"/>
  <c r="F99" i="8"/>
  <c r="F100" i="8"/>
  <c r="F101" i="8"/>
  <c r="F107" i="8"/>
  <c r="F108" i="8"/>
  <c r="F109" i="8"/>
  <c r="F110" i="8"/>
  <c r="F111" i="8"/>
  <c r="F112" i="8"/>
  <c r="F113" i="8"/>
  <c r="F114" i="8"/>
  <c r="F115" i="8"/>
  <c r="F116" i="8"/>
  <c r="F122" i="8"/>
  <c r="F123" i="8"/>
  <c r="F124" i="8"/>
  <c r="F125" i="8"/>
  <c r="F126" i="8"/>
  <c r="E127" i="8"/>
  <c r="F127" i="8" s="1"/>
  <c r="F128" i="8"/>
  <c r="F129" i="8"/>
  <c r="F130" i="8"/>
  <c r="F131" i="8"/>
  <c r="E132" i="8"/>
  <c r="F132" i="8" s="1"/>
  <c r="F133" i="8"/>
  <c r="F134" i="8"/>
  <c r="F135" i="8"/>
  <c r="F136" i="8"/>
  <c r="E137" i="8"/>
  <c r="F137" i="8" s="1"/>
  <c r="F138" i="8"/>
  <c r="F139" i="8"/>
  <c r="F140" i="8"/>
  <c r="F141" i="8"/>
  <c r="E142" i="8"/>
  <c r="E147" i="8"/>
  <c r="F147" i="8" s="1"/>
  <c r="F148" i="8"/>
  <c r="F149" i="8"/>
  <c r="F150" i="8"/>
  <c r="F151" i="8"/>
  <c r="E152" i="8"/>
  <c r="F152" i="8" s="1"/>
  <c r="F153" i="8"/>
  <c r="F154" i="8"/>
  <c r="F155" i="8"/>
  <c r="F156" i="8"/>
  <c r="E157" i="8"/>
  <c r="F157" i="8" s="1"/>
  <c r="F158" i="8"/>
  <c r="F159" i="8"/>
  <c r="F160" i="8"/>
  <c r="F161" i="8"/>
  <c r="E162" i="8"/>
  <c r="F162" i="8" s="1"/>
  <c r="F163" i="8"/>
  <c r="F164" i="8"/>
  <c r="F165" i="8"/>
  <c r="F166" i="8"/>
  <c r="E167" i="8"/>
  <c r="F167" i="8" s="1"/>
  <c r="F168" i="8"/>
  <c r="F169" i="8"/>
  <c r="F170" i="8"/>
  <c r="F171" i="8"/>
  <c r="E172" i="8"/>
  <c r="E177" i="8"/>
  <c r="F177" i="8" s="1"/>
  <c r="F178" i="8"/>
  <c r="F179" i="8"/>
  <c r="F180" i="8"/>
  <c r="F181" i="8"/>
  <c r="E182" i="8"/>
  <c r="F182" i="8" s="1"/>
  <c r="F183" i="8"/>
  <c r="F184" i="8"/>
  <c r="F185" i="8"/>
  <c r="F186" i="8"/>
  <c r="E187" i="8"/>
  <c r="K75" i="8"/>
  <c r="H2541" i="12"/>
  <c r="H2214" i="12"/>
  <c r="H2138" i="12"/>
  <c r="H1892" i="12"/>
  <c r="H1891" i="12"/>
  <c r="H1776" i="12"/>
  <c r="H1616" i="12"/>
  <c r="H1525" i="12"/>
  <c r="H599" i="12"/>
  <c r="L15" i="27"/>
  <c r="O14" i="27"/>
  <c r="P14" i="28"/>
  <c r="O14" i="28"/>
  <c r="P14" i="27"/>
  <c r="L15" i="2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8D97AA-287A-4B00-8E9A-9E7074751D37}" keepAlive="1" name="Query - State,UT" description="Connection to the 'State,UT' query in the workbook." type="5" refreshedVersion="8" background="1" saveData="1">
    <dbPr connection="Provider=Microsoft.Mashup.OleDb.1;Data Source=$Workbook$;Location=State,UT;Extended Properties=&quot;&quot;" command="SELECT * FROM [State,UT]"/>
  </connection>
  <connection id="2" xr16:uid="{8C69F1EC-D2CF-46CE-A39B-71032536537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7817DEC-0CD0-4CB1-B391-EE566F6105CF}" name="WorksheetConnection_Dash.xlsx!Table2" type="102" refreshedVersion="8" minRefreshableVersion="5">
    <extLst>
      <ext xmlns:x15="http://schemas.microsoft.com/office/spreadsheetml/2010/11/main" uri="{DE250136-89BD-433C-8126-D09CA5730AF9}">
        <x15:connection id="Table2" autoDelete="1">
          <x15:rangePr sourceName="_xlcn.WorksheetConnection_Dash.xlsxTable2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ThisWorkbookDataModel"/>
    <s v="{[Table2].[Gender].[All]}"/>
    <s v="{[Table2].[State].[All]}"/>
    <s v="{[Table2].[Mode or Method].&amp;[By Coming under Vehicles],[Table2].[Mode or Method].&amp;[By Drowning],[Table2].[Mode or Method].&amp;[By Hanging],[Table2].[Mode or Method].&amp;[By Other Means],[Table2].[Mode or Method].&amp;[By Poison/Pills],[Table2].[Mode or Method].&amp;[By Self Immolation],[Table2].[Mode or Method].&amp;[By Touching Electric Wire],[Table2].[Mode or Method].&amp;[Jumping]}"/>
    <s v="{[Table2].[Causes].[All]}"/>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<sst xmlns="http://schemas.openxmlformats.org/spreadsheetml/2006/main" count="8617" uniqueCount="118">
  <si>
    <t>Gender</t>
  </si>
  <si>
    <t>Causes</t>
  </si>
  <si>
    <t>Male</t>
  </si>
  <si>
    <t>Divorce</t>
  </si>
  <si>
    <t>Female</t>
  </si>
  <si>
    <t>Ideological Causes/Hero Worshipping</t>
  </si>
  <si>
    <t>Property Dispute</t>
  </si>
  <si>
    <t>By Hanging</t>
  </si>
  <si>
    <t>Death of Dear Person</t>
  </si>
  <si>
    <t>Failure in Examination</t>
  </si>
  <si>
    <t>Fall in Social Reputation</t>
  </si>
  <si>
    <t>Family Problems</t>
  </si>
  <si>
    <t>Illegitimate Pregnancy</t>
  </si>
  <si>
    <t>By Drowning</t>
  </si>
  <si>
    <t>Love Affairs</t>
  </si>
  <si>
    <t>Poverty</t>
  </si>
  <si>
    <t>Professional/Career Problem</t>
  </si>
  <si>
    <t>Unemployment</t>
  </si>
  <si>
    <t>Married</t>
  </si>
  <si>
    <t>Widowed/Widower</t>
  </si>
  <si>
    <t>Divorcee</t>
  </si>
  <si>
    <t>No Education</t>
  </si>
  <si>
    <t>Andhra Pradesh</t>
  </si>
  <si>
    <t>Arunachal Pradesh</t>
  </si>
  <si>
    <t>Assam</t>
  </si>
  <si>
    <t>Bihar</t>
  </si>
  <si>
    <t>Chhattisgarh</t>
  </si>
  <si>
    <t>Goa</t>
  </si>
  <si>
    <t>Gujarat</t>
  </si>
  <si>
    <t>Haryana</t>
  </si>
  <si>
    <t>Himachal Pradesh</t>
  </si>
  <si>
    <t>Jharkhand</t>
  </si>
  <si>
    <t>Karnataka</t>
  </si>
  <si>
    <t>Kerala</t>
  </si>
  <si>
    <t>Madhya Pradesh</t>
  </si>
  <si>
    <t>Maharashtra</t>
  </si>
  <si>
    <t>Manipur</t>
  </si>
  <si>
    <t>Meghalaya</t>
  </si>
  <si>
    <t>Mizoram</t>
  </si>
  <si>
    <t>Nagaland</t>
  </si>
  <si>
    <t>Odisha</t>
  </si>
  <si>
    <t>Punjab</t>
  </si>
  <si>
    <t>Rajasthan</t>
  </si>
  <si>
    <t>Sikkim</t>
  </si>
  <si>
    <t>Tamil Nadu</t>
  </si>
  <si>
    <t>Telangana</t>
  </si>
  <si>
    <t>Tripura</t>
  </si>
  <si>
    <t>Uttar Pradesh</t>
  </si>
  <si>
    <t>Uttarakhand</t>
  </si>
  <si>
    <t>West Bengal</t>
  </si>
  <si>
    <t>Andaman and Nicobar Islands</t>
  </si>
  <si>
    <t>Chandigarh</t>
  </si>
  <si>
    <t>Jammu and Kashmir</t>
  </si>
  <si>
    <t>Ladakh</t>
  </si>
  <si>
    <t>Lakshadweep</t>
  </si>
  <si>
    <t>Puducherry</t>
  </si>
  <si>
    <t>Transgender</t>
  </si>
  <si>
    <t>Total No.</t>
  </si>
  <si>
    <t>By Touching Electric Wire</t>
  </si>
  <si>
    <t>By Other Means</t>
  </si>
  <si>
    <t>Diploma/Certificate/ ITI</t>
  </si>
  <si>
    <t>Graduate and above</t>
  </si>
  <si>
    <t>Status Not known</t>
  </si>
  <si>
    <t>Status</t>
  </si>
  <si>
    <t>Un-Married</t>
  </si>
  <si>
    <t>Separated</t>
  </si>
  <si>
    <t>Others</t>
  </si>
  <si>
    <t>Profession</t>
  </si>
  <si>
    <t>House wife</t>
  </si>
  <si>
    <t>Students</t>
  </si>
  <si>
    <t>Unemployed Persons</t>
  </si>
  <si>
    <t>Daily Wage Earner</t>
  </si>
  <si>
    <t>Retired Persons</t>
  </si>
  <si>
    <t>Dowry Related Issues</t>
  </si>
  <si>
    <t>Extra Marital affairs</t>
  </si>
  <si>
    <t>Impotency/Infertility</t>
  </si>
  <si>
    <t>Drug Abuse/Alcoholic Addiction</t>
  </si>
  <si>
    <t>Physical Abuse (Rape)</t>
  </si>
  <si>
    <t>Other Causes</t>
  </si>
  <si>
    <t>Jumping</t>
  </si>
  <si>
    <t>Illness</t>
  </si>
  <si>
    <t>Marriage Issues</t>
  </si>
  <si>
    <t>Government Servants</t>
  </si>
  <si>
    <t>Private/Public Sector</t>
  </si>
  <si>
    <t>Self-employed Persons</t>
  </si>
  <si>
    <t>Farmers/Cultivators</t>
  </si>
  <si>
    <t>Mode or Method</t>
  </si>
  <si>
    <t>Education Qualification</t>
  </si>
  <si>
    <t>Years</t>
  </si>
  <si>
    <t>Hr. Secondary/ Intermediate</t>
  </si>
  <si>
    <t>Matriculate/ Secondary</t>
  </si>
  <si>
    <t>up to class–8th</t>
  </si>
  <si>
    <t>Professionals</t>
  </si>
  <si>
    <t>State or Union Territory</t>
  </si>
  <si>
    <t>India</t>
  </si>
  <si>
    <t>Delhi</t>
  </si>
  <si>
    <t>Daman and Diu</t>
  </si>
  <si>
    <t>Dadra and Nagar Haveli</t>
  </si>
  <si>
    <t>A &amp; N Islands</t>
  </si>
  <si>
    <t xml:space="preserve"> Top 5 States/UTs of Every Year in Suicide Rate</t>
  </si>
  <si>
    <t>S.no</t>
  </si>
  <si>
    <t>Growth Rate</t>
  </si>
  <si>
    <t>Total</t>
  </si>
  <si>
    <t>By Poison/Pills</t>
  </si>
  <si>
    <t>By Self Immolation</t>
  </si>
  <si>
    <t>By Coming under Vehicles</t>
  </si>
  <si>
    <t>No. of Suicide</t>
  </si>
  <si>
    <t>All</t>
  </si>
  <si>
    <t>Grand Total</t>
  </si>
  <si>
    <t>Sum of Total No.</t>
  </si>
  <si>
    <t>Mode or Methods</t>
  </si>
  <si>
    <t>Marital Status</t>
  </si>
  <si>
    <t>Professions</t>
  </si>
  <si>
    <t>Andaman and Nicobar</t>
  </si>
  <si>
    <t>(Multiple Items)</t>
  </si>
  <si>
    <t>Rate of Suicide</t>
  </si>
  <si>
    <t>States/UTs</t>
  </si>
  <si>
    <t>States/Uts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</si>
</sst>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b/>
      <sz val="14"/>
      <color theme="1"/>
      <name val="Bahnschrift Light"/>
      <family val="2"/>
    </font>
    <font>
      <b/>
      <sz val="11"/>
      <color theme="1"/>
      <name val="Calibri Light"/>
      <family val="2"/>
    </font>
    <font>
      <b/>
      <sz val="16"/>
      <color theme="2" tint="-0.499984740745262"/>
      <name val="Bahnschrift Light"/>
      <family val="2"/>
    </font>
    <font>
      <b/>
      <sz val="14"/>
      <color theme="2" tint="-0.499984740745262"/>
      <name val="Calibri"/>
      <family val="2"/>
      <scheme val="minor"/>
    </font>
    <font>
      <sz val="28"/>
      <color theme="1"/>
      <name val="Calibri"/>
      <family val="2"/>
      <scheme val="minor"/>
    </font>
    <font>
      <b/>
      <sz val="20"/>
      <color theme="1"/>
      <name val="Calibri"/>
      <family val="2"/>
      <scheme val="minor"/>
    </font>
    <font>
      <b/>
      <sz val="16"/>
      <color theme="2" tint="-0.749992370372631"/>
      <name val="Bahnschrift Light"/>
      <family val="2"/>
    </font>
    <font>
      <b/>
      <sz val="14"/>
      <color theme="2" tint="-0.749992370372631"/>
      <name val="Calibri"/>
      <family val="2"/>
      <scheme val="minor"/>
    </font>
    <font>
      <b/>
      <sz val="11"/>
      <color theme="0" tint="-4.9989318521683403E-2"/>
      <name val="Calibri Light"/>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2" tint="-0.249977111117893"/>
        <bgColor indexed="64"/>
      </patternFill>
    </fill>
    <fill>
      <patternFill patternType="solid">
        <fgColor theme="0" tint="-0.14999847407452621"/>
        <bgColor indexed="64"/>
      </patternFill>
    </fill>
    <fill>
      <patternFill patternType="solid">
        <fgColor theme="0" tint="-0.249977111117893"/>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theme="4" tint="0.39997558519241921"/>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38">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18" fillId="0" borderId="0" xfId="0" applyFont="1"/>
    <xf numFmtId="0" fontId="19" fillId="0" borderId="0" xfId="0" applyFont="1" applyAlignment="1">
      <alignment horizontal="center"/>
    </xf>
    <xf numFmtId="0" fontId="20" fillId="0" borderId="0" xfId="0" applyFont="1" applyAlignment="1">
      <alignment horizontal="center" vertical="center"/>
    </xf>
    <xf numFmtId="0" fontId="18" fillId="0" borderId="0" xfId="0" applyFont="1" applyAlignment="1">
      <alignment vertical="center" wrapText="1"/>
    </xf>
    <xf numFmtId="164" fontId="0" fillId="0" borderId="0" xfId="0" applyNumberFormat="1"/>
    <xf numFmtId="9" fontId="0" fillId="0" borderId="0" xfId="42" applyFont="1" applyAlignment="1">
      <alignment vertical="center"/>
    </xf>
    <xf numFmtId="9" fontId="0" fillId="0" borderId="0" xfId="42" applyFont="1" applyAlignment="1"/>
    <xf numFmtId="9" fontId="0" fillId="0" borderId="0" xfId="42" applyFont="1" applyAlignment="1">
      <alignment horizontal="right"/>
    </xf>
    <xf numFmtId="9" fontId="0" fillId="0" borderId="0" xfId="42" applyFont="1"/>
    <xf numFmtId="0" fontId="0" fillId="0" borderId="0" xfId="0" pivotButton="1"/>
    <xf numFmtId="0" fontId="0" fillId="0" borderId="0" xfId="0" applyAlignment="1">
      <alignment horizontal="left"/>
    </xf>
    <xf numFmtId="0" fontId="16" fillId="34" borderId="12" xfId="0" applyFont="1" applyFill="1" applyBorder="1"/>
    <xf numFmtId="0" fontId="16" fillId="34" borderId="12" xfId="0" applyFont="1" applyFill="1" applyBorder="1" applyAlignment="1">
      <alignment horizontal="left"/>
    </xf>
    <xf numFmtId="0" fontId="22" fillId="33" borderId="0" xfId="0" applyFont="1" applyFill="1" applyAlignment="1">
      <alignment horizontal="center" vertical="center"/>
    </xf>
    <xf numFmtId="0" fontId="0" fillId="33" borderId="0" xfId="0" applyFill="1"/>
    <xf numFmtId="0" fontId="0" fillId="33" borderId="0" xfId="0" applyFill="1" applyAlignment="1">
      <alignment horizontal="left"/>
    </xf>
    <xf numFmtId="0" fontId="21" fillId="33" borderId="0" xfId="0" applyFont="1" applyFill="1" applyAlignment="1">
      <alignment vertical="center"/>
    </xf>
    <xf numFmtId="0" fontId="18" fillId="33" borderId="0" xfId="0" applyFont="1" applyFill="1" applyAlignment="1">
      <alignment horizontal="center" vertical="center"/>
    </xf>
    <xf numFmtId="0" fontId="0" fillId="33" borderId="0" xfId="0" applyFill="1" applyAlignment="1">
      <alignment horizontal="center" vertical="center"/>
    </xf>
    <xf numFmtId="0" fontId="25" fillId="33" borderId="0" xfId="0" applyFont="1" applyFill="1" applyAlignment="1">
      <alignment vertical="top"/>
    </xf>
    <xf numFmtId="0" fontId="0" fillId="33" borderId="0" xfId="0" quotePrefix="1" applyFill="1"/>
    <xf numFmtId="0" fontId="23" fillId="33" borderId="0" xfId="0" applyFont="1" applyFill="1" applyAlignment="1">
      <alignment vertical="center"/>
    </xf>
    <xf numFmtId="0" fontId="24" fillId="33" borderId="0" xfId="0" applyFont="1" applyFill="1" applyAlignment="1">
      <alignment horizontal="center" vertical="center"/>
    </xf>
    <xf numFmtId="0" fontId="28" fillId="36" borderId="11" xfId="0" applyFont="1" applyFill="1" applyBorder="1" applyAlignment="1">
      <alignment horizontal="center" vertical="center"/>
    </xf>
    <xf numFmtId="0" fontId="29" fillId="35" borderId="10" xfId="0" applyFont="1" applyFill="1" applyBorder="1" applyAlignment="1">
      <alignment horizontal="center" vertical="center"/>
    </xf>
    <xf numFmtId="9" fontId="0" fillId="0" borderId="0" xfId="42" applyFont="1" applyAlignment="1">
      <alignment horizontal="center"/>
    </xf>
    <xf numFmtId="9" fontId="25" fillId="33" borderId="0" xfId="0" applyNumberFormat="1" applyFont="1" applyFill="1" applyAlignment="1">
      <alignment horizontal="center" vertical="center"/>
    </xf>
    <xf numFmtId="0" fontId="21" fillId="33" borderId="0" xfId="0" applyFont="1" applyFill="1" applyAlignment="1">
      <alignment horizontal="center" vertical="center"/>
    </xf>
    <xf numFmtId="0" fontId="27" fillId="37" borderId="10" xfId="0" applyFont="1" applyFill="1" applyBorder="1" applyAlignment="1">
      <alignment horizontal="center" vertical="center"/>
    </xf>
    <xf numFmtId="0" fontId="23" fillId="33" borderId="0" xfId="0" applyFont="1" applyFill="1" applyAlignment="1">
      <alignment horizontal="center" vertical="center"/>
    </xf>
    <xf numFmtId="0" fontId="26" fillId="33" borderId="0" xfId="0" applyFont="1" applyFill="1" applyAlignment="1">
      <alignment horizontal="center" vertical="center"/>
    </xf>
    <xf numFmtId="0" fontId="25" fillId="33" borderId="0" xfId="0" applyFont="1" applyFill="1" applyAlignment="1">
      <alignment horizontal="center" vertical="top"/>
    </xf>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22">
    <dxf>
      <fill>
        <patternFill patternType="none">
          <fgColor indexed="64"/>
          <bgColor theme="0" tint="-4.9989318521683403E-2"/>
        </patternFill>
      </fill>
      <border diagonalUp="0" diagonalDown="0" outline="0">
        <left style="thin">
          <color indexed="64"/>
        </left>
        <right/>
        <top style="thin">
          <color indexed="64"/>
        </top>
        <bottom style="thin">
          <color indexed="64"/>
        </bottom>
      </border>
    </dxf>
    <dxf>
      <fill>
        <patternFill patternType="none">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theme="0" tint="-4.9989318521683403E-2"/>
        </patternFill>
      </fill>
      <border diagonalUp="0" diagonalDown="0" outline="0">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bottom/>
      </border>
    </dxf>
    <dxf>
      <fill>
        <patternFill patternType="none">
          <fgColor indexed="64"/>
          <bgColor theme="0" tint="-4.9989318521683403E-2"/>
        </patternFill>
      </fill>
    </dxf>
    <dxf>
      <fill>
        <patternFill patternType="none">
          <fgColor indexed="64"/>
          <bgColor theme="0" tint="-4.9989318521683403E-2"/>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alignment horizontal="general" vertical="center" textRotation="0" wrapText="0" indent="0" justifyLastLine="0" shrinkToFit="0" readingOrder="0"/>
    </dxf>
    <dxf>
      <numFmt numFmtId="164" formatCode="0.0"/>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textRotation="0" wrapText="0" indent="0" justifyLastLine="0" shrinkToFit="0" readingOrder="0"/>
    </dxf>
    <dxf>
      <font>
        <b val="0"/>
        <i val="0"/>
        <sz val="20"/>
        <color auto="1"/>
        <name val="Calibri"/>
        <family val="2"/>
        <scheme val="minor"/>
      </font>
      <fill>
        <patternFill>
          <bgColor theme="0" tint="-0.34998626667073579"/>
        </patternFill>
      </fill>
      <border diagonalUp="1">
        <left style="thin">
          <color auto="1"/>
        </left>
        <right style="thin">
          <color auto="1"/>
        </right>
        <top style="thin">
          <color auto="1"/>
        </top>
        <bottom style="thin">
          <color auto="1"/>
        </bottom>
        <diagonal style="thin">
          <color auto="1"/>
        </diagonal>
      </border>
    </dxf>
    <dxf>
      <font>
        <b/>
        <i val="0"/>
        <sz val="20"/>
        <name val="Calibri"/>
        <family val="2"/>
        <scheme val="minor"/>
      </font>
      <fill>
        <patternFill>
          <bgColor theme="0" tint="-4.9989318521683403E-2"/>
        </patternFill>
      </fill>
    </dxf>
    <dxf>
      <font>
        <b/>
        <i val="0"/>
        <sz val="20"/>
        <name val="Calibri"/>
        <family val="2"/>
        <scheme val="minor"/>
      </font>
    </dxf>
    <dxf>
      <font>
        <sz val="28"/>
        <name val="Calibri"/>
        <family val="2"/>
        <scheme val="minor"/>
      </font>
      <fill>
        <patternFill>
          <bgColor theme="0" tint="-4.9989318521683403E-2"/>
        </patternFill>
      </fill>
    </dxf>
  </dxfs>
  <tableStyles count="5" defaultTableStyle="TableStyleMedium2" defaultPivotStyle="PivotStyleLight16">
    <tableStyle name="Invisible" pivot="0" table="0" count="0" xr9:uid="{CEF73449-BD51-43AE-BE6C-30292FDB3BA3}"/>
    <tableStyle name="Slicer Style 1" pivot="0" table="0" count="1" xr9:uid="{9874041F-6E1C-41F3-B60A-B5AEED7E7C70}">
      <tableStyleElement type="wholeTable" dxfId="21"/>
    </tableStyle>
    <tableStyle name="Slicer Style 2" pivot="0" table="0" count="1" xr9:uid="{9EC1936D-51EF-49CC-A12B-FF90C17B1434}">
      <tableStyleElement type="wholeTable" dxfId="20"/>
    </tableStyle>
    <tableStyle name="Slicer Style 3" pivot="0" table="0" count="1" xr9:uid="{8F1B4935-277D-43AF-B1C8-1C977DC92F44}">
      <tableStyleElement type="wholeTable" dxfId="19"/>
    </tableStyle>
    <tableStyle name="Slicer Style 4" pivot="0" table="0" count="1" xr9:uid="{5441AB0C-0DCD-489A-8365-93A7B5BAD2F0}">
      <tableStyleElement type="wholeTable" dxfId="18"/>
    </tableStyle>
  </tableStyles>
  <colors>
    <mruColors>
      <color rgb="FFEAEAEA"/>
      <color rgb="FFFF0000"/>
      <color rgb="FF00CC00"/>
      <color rgb="FFFF99FF"/>
      <color rgb="FFFFFF00"/>
      <color rgb="FF9966FF"/>
    </mruColors>
  </colors>
  <extLst>
    <ext xmlns:x14="http://schemas.microsoft.com/office/spreadsheetml/2009/9/main" uri="{EB79DEF2-80B8-43e5-95BD-54CBDDF9020C}">
      <x14:slicerStyles defaultSlicerStyle="Slicer Style 4">
        <x14:slicerStyle name="Slicer Style 1"/>
        <x14:slicerStyle name="Slicer Style 2"/>
        <x14:slicerStyle name="Slicer Style 3"/>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07/relationships/slicerCache" Target="slicerCaches/slicerCache4.xml"/><Relationship Id="rId26" Type="http://schemas.openxmlformats.org/officeDocument/2006/relationships/powerPivotData" Target="model/item.data"/><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7/relationships/slicerCache" Target="slicerCaches/slicerCache3.xml"/><Relationship Id="rId25" Type="http://schemas.openxmlformats.org/officeDocument/2006/relationships/sheetMetadata" Target="metadata.xml"/><Relationship Id="rId33"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sharedStrings" Target="sharedStrings.xml"/><Relationship Id="rId32" Type="http://schemas.openxmlformats.org/officeDocument/2006/relationships/customXml" Target="../customXml/item4.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28" Type="http://schemas.openxmlformats.org/officeDocument/2006/relationships/calcChain" Target="calcChain.xml"/><Relationship Id="rId10" Type="http://schemas.openxmlformats.org/officeDocument/2006/relationships/pivotCacheDefinition" Target="pivotCache/pivotCacheDefinition4.xml"/><Relationship Id="rId19" Type="http://schemas.microsoft.com/office/2007/relationships/slicerCache" Target="slicerCaches/slicerCache5.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connections" Target="connections.xml"/><Relationship Id="rId27" Type="http://schemas.microsoft.com/office/2017/10/relationships/person" Target="persons/person.xml"/><Relationship Id="rId30" Type="http://schemas.openxmlformats.org/officeDocument/2006/relationships/customXml" Target="../customXml/item2.xml"/><Relationship Id="rId8"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758143999533056E-2"/>
          <c:y val="4.1123102014701027E-2"/>
          <c:w val="0.88466949057110433"/>
          <c:h val="0.84298316016283092"/>
        </c:manualLayout>
      </c:layout>
      <c:lineChart>
        <c:grouping val="standard"/>
        <c:varyColors val="0"/>
        <c:ser>
          <c:idx val="1"/>
          <c:order val="0"/>
          <c:tx>
            <c:strRef>
              <c:f>'State,UT'!$D$1</c:f>
              <c:strCache>
                <c:ptCount val="1"/>
                <c:pt idx="0">
                  <c:v>Rate of Suicide</c:v>
                </c:pt>
              </c:strCache>
            </c:strRef>
          </c:tx>
          <c:spPr>
            <a:ln w="34925" cap="rnd">
              <a:solidFill>
                <a:schemeClr val="accent3">
                  <a:shade val="76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'State,UT'!$B$2:$B$191</c:f>
              <c:numCache>
                <c:formatCode>General</c:formatCode>
                <c:ptCount val="5"/>
                <c:pt idx="0">
                  <c:v>2018</c:v>
                </c:pt>
                <c:pt idx="1">
                  <c:v>2019</c:v>
                </c:pt>
                <c:pt idx="2">
                  <c:v>2020</c:v>
                </c:pt>
                <c:pt idx="3">
                  <c:v>2021</c:v>
                </c:pt>
                <c:pt idx="4">
                  <c:v>2022</c:v>
                </c:pt>
              </c:numCache>
            </c:numRef>
          </c:cat>
          <c:val>
            <c:numRef>
              <c:f>'State,UT'!$D$2:$D$191</c:f>
              <c:numCache>
                <c:formatCode>0.0</c:formatCode>
                <c:ptCount val="5"/>
                <c:pt idx="0">
                  <c:v>10.056443956011094</c:v>
                </c:pt>
                <c:pt idx="1">
                  <c:v>10.4</c:v>
                </c:pt>
                <c:pt idx="2">
                  <c:v>11.3</c:v>
                </c:pt>
                <c:pt idx="3">
                  <c:v>12</c:v>
                </c:pt>
                <c:pt idx="4">
                  <c:v>14.1</c:v>
                </c:pt>
              </c:numCache>
            </c:numRef>
          </c:val>
          <c:smooth val="0"/>
          <c:extLst>
            <c:ext xmlns:c16="http://schemas.microsoft.com/office/drawing/2014/chart" uri="{C3380CC4-5D6E-409C-BE32-E72D297353CC}">
              <c16:uniqueId val="{00000000-52C4-4E3F-BA49-C518EB2EBEAA}"/>
            </c:ext>
          </c:extLst>
        </c:ser>
        <c:dLbls>
          <c:dLblPos val="t"/>
          <c:showLegendKey val="0"/>
          <c:showVal val="1"/>
          <c:showCatName val="0"/>
          <c:showSerName val="0"/>
          <c:showPercent val="0"/>
          <c:showBubbleSize val="0"/>
        </c:dLbls>
        <c:smooth val="0"/>
        <c:axId val="1358098671"/>
        <c:axId val="1358101071"/>
      </c:lineChart>
      <c:catAx>
        <c:axId val="13580986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358101071"/>
        <c:crosses val="autoZero"/>
        <c:auto val="1"/>
        <c:lblAlgn val="ctr"/>
        <c:lblOffset val="100"/>
        <c:noMultiLvlLbl val="0"/>
      </c:catAx>
      <c:valAx>
        <c:axId val="135810107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358098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scene3d>
      <a:camera prst="orthographicFront"/>
      <a:lightRig rig="threePt" dir="t"/>
    </a:scene3d>
    <a:sp3d prstMaterial="matte">
      <a:bevelT w="63500" h="63500" prst="artDeco"/>
      <a:contourClr>
        <a:srgbClr val="000000"/>
      </a:contourClr>
    </a:sp3d>
  </c:spPr>
  <c:txPr>
    <a:bodyPr/>
    <a:lstStyle/>
    <a:p>
      <a:pPr>
        <a:defRPr sz="1400" b="1"/>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7373038739361847E-2"/>
          <c:y val="0"/>
          <c:w val="0.90660347068699465"/>
          <c:h val="0.99778952202305438"/>
        </c:manualLayout>
      </c:layout>
      <c:doughnutChart>
        <c:varyColors val="1"/>
        <c:ser>
          <c:idx val="2"/>
          <c:order val="0"/>
          <c:tx>
            <c:strRef>
              <c:f>'State,UT'!$E$1:$F$1</c:f>
              <c:strCache>
                <c:ptCount val="2"/>
                <c:pt idx="0">
                  <c:v>Growth Rate</c:v>
                </c:pt>
                <c:pt idx="1">
                  <c:v>Total</c:v>
                </c:pt>
              </c:strCache>
            </c:strRef>
          </c:tx>
          <c:val>
            <c:numRef>
              <c:f>('State,UT'!$E$2,'State,UT'!$F$2)</c:f>
            </c:numRef>
          </c:val>
          <c:extLst>
            <c:ext xmlns:c16="http://schemas.microsoft.com/office/drawing/2014/chart" uri="{C3380CC4-5D6E-409C-BE32-E72D297353CC}">
              <c16:uniqueId val="{00000000-6085-43A2-BDA0-32121D1BCF07}"/>
            </c:ext>
          </c:extLst>
        </c:ser>
        <c:ser>
          <c:idx val="0"/>
          <c:order val="1"/>
          <c:tx>
            <c:strRef>
              <c:f>'State,UT'!$E$1:$F$1</c:f>
              <c:strCache>
                <c:ptCount val="2"/>
                <c:pt idx="0">
                  <c:v>Growth Rate</c:v>
                </c:pt>
                <c:pt idx="1">
                  <c:v>Total</c:v>
                </c:pt>
              </c:strCache>
            </c:strRef>
          </c:tx>
          <c:val>
            <c:numRef>
              <c:f>('State,UT'!$E$3,'State,UT'!$F$3)</c:f>
            </c:numRef>
          </c:val>
          <c:extLst>
            <c:ext xmlns:c16="http://schemas.microsoft.com/office/drawing/2014/chart" uri="{C3380CC4-5D6E-409C-BE32-E72D297353CC}">
              <c16:uniqueId val="{00000001-6085-43A2-BDA0-32121D1BCF07}"/>
            </c:ext>
          </c:extLst>
        </c:ser>
        <c:ser>
          <c:idx val="1"/>
          <c:order val="2"/>
          <c:tx>
            <c:strRef>
              <c:f>'State,UT'!$E$1:$F$1</c:f>
              <c:strCache>
                <c:ptCount val="2"/>
                <c:pt idx="0">
                  <c:v>Growth Rate</c:v>
                </c:pt>
                <c:pt idx="1">
                  <c:v>Total</c:v>
                </c:pt>
              </c:strCache>
            </c:strRef>
          </c:tx>
          <c:val>
            <c:numRef>
              <c:f>('State,UT'!$E$4,'State,UT'!$F$4)</c:f>
            </c:numRef>
          </c:val>
          <c:extLst>
            <c:ext xmlns:c16="http://schemas.microsoft.com/office/drawing/2014/chart" uri="{C3380CC4-5D6E-409C-BE32-E72D297353CC}">
              <c16:uniqueId val="{00000002-6085-43A2-BDA0-32121D1BCF07}"/>
            </c:ext>
          </c:extLst>
        </c:ser>
        <c:ser>
          <c:idx val="3"/>
          <c:order val="3"/>
          <c:tx>
            <c:strRef>
              <c:f>'State,UT'!$E$1:$F$1</c:f>
              <c:strCache>
                <c:ptCount val="2"/>
                <c:pt idx="0">
                  <c:v>Growth Rate</c:v>
                </c:pt>
                <c:pt idx="1">
                  <c:v>Total</c:v>
                </c:pt>
              </c:strCache>
            </c:strRef>
          </c:tx>
          <c:val>
            <c:numRef>
              <c:f>('State,UT'!$E$5,'State,UT'!$F$5)</c:f>
            </c:numRef>
          </c:val>
          <c:extLst>
            <c:ext xmlns:c16="http://schemas.microsoft.com/office/drawing/2014/chart" uri="{C3380CC4-5D6E-409C-BE32-E72D297353CC}">
              <c16:uniqueId val="{00000003-6085-43A2-BDA0-32121D1BCF07}"/>
            </c:ext>
          </c:extLst>
        </c:ser>
        <c:ser>
          <c:idx val="4"/>
          <c:order val="4"/>
          <c:tx>
            <c:strRef>
              <c:f>'State,UT'!$E$1:$F$1</c:f>
              <c:strCache>
                <c:ptCount val="2"/>
                <c:pt idx="0">
                  <c:v>Growth Rate</c:v>
                </c:pt>
                <c:pt idx="1">
                  <c:v>Total</c:v>
                </c:pt>
              </c:strCache>
            </c:strRef>
          </c:tx>
          <c:val>
            <c:numRef>
              <c:f>('State,UT'!$E$6,'State,UT'!$F$6)</c:f>
            </c:numRef>
          </c:val>
          <c:extLst>
            <c:ext xmlns:c16="http://schemas.microsoft.com/office/drawing/2014/chart" uri="{C3380CC4-5D6E-409C-BE32-E72D297353CC}">
              <c16:uniqueId val="{00000004-6085-43A2-BDA0-32121D1BCF07}"/>
            </c:ext>
          </c:extLst>
        </c:ser>
        <c:ser>
          <c:idx val="5"/>
          <c:order val="5"/>
          <c:tx>
            <c:strRef>
              <c:f>'State,UT'!$E$1:$F$1</c:f>
              <c:strCache>
                <c:ptCount val="2"/>
                <c:pt idx="0">
                  <c:v>Growth Rate</c:v>
                </c:pt>
                <c:pt idx="1">
                  <c:v>Total</c:v>
                </c:pt>
              </c:strCache>
            </c:strRef>
          </c:tx>
          <c:val>
            <c:numRef>
              <c:f>('State,UT'!$E$17,'State,UT'!$F$17)</c:f>
            </c:numRef>
          </c:val>
          <c:extLst>
            <c:ext xmlns:c16="http://schemas.microsoft.com/office/drawing/2014/chart" uri="{C3380CC4-5D6E-409C-BE32-E72D297353CC}">
              <c16:uniqueId val="{00000005-6085-43A2-BDA0-32121D1BCF07}"/>
            </c:ext>
          </c:extLst>
        </c:ser>
        <c:ser>
          <c:idx val="6"/>
          <c:order val="6"/>
          <c:tx>
            <c:strRef>
              <c:f>'State,UT'!$E$1:$F$1</c:f>
              <c:strCache>
                <c:ptCount val="2"/>
                <c:pt idx="0">
                  <c:v>Growth Rate</c:v>
                </c:pt>
                <c:pt idx="1">
                  <c:v>Total</c:v>
                </c:pt>
              </c:strCache>
            </c:strRef>
          </c:tx>
          <c:val>
            <c:numRef>
              <c:f>('State,UT'!$E$18,'State,UT'!$F$18)</c:f>
            </c:numRef>
          </c:val>
          <c:extLst>
            <c:ext xmlns:c16="http://schemas.microsoft.com/office/drawing/2014/chart" uri="{C3380CC4-5D6E-409C-BE32-E72D297353CC}">
              <c16:uniqueId val="{00000006-6085-43A2-BDA0-32121D1BCF07}"/>
            </c:ext>
          </c:extLst>
        </c:ser>
        <c:ser>
          <c:idx val="7"/>
          <c:order val="7"/>
          <c:tx>
            <c:strRef>
              <c:f>'State,UT'!$E$1:$F$1</c:f>
              <c:strCache>
                <c:ptCount val="2"/>
                <c:pt idx="0">
                  <c:v>Growth Rate</c:v>
                </c:pt>
                <c:pt idx="1">
                  <c:v>Total</c:v>
                </c:pt>
              </c:strCache>
            </c:strRef>
          </c:tx>
          <c:val>
            <c:numRef>
              <c:f>('State,UT'!$E$19,'State,UT'!$F$19)</c:f>
            </c:numRef>
          </c:val>
          <c:extLst>
            <c:ext xmlns:c16="http://schemas.microsoft.com/office/drawing/2014/chart" uri="{C3380CC4-5D6E-409C-BE32-E72D297353CC}">
              <c16:uniqueId val="{00000007-6085-43A2-BDA0-32121D1BCF07}"/>
            </c:ext>
          </c:extLst>
        </c:ser>
        <c:ser>
          <c:idx val="8"/>
          <c:order val="8"/>
          <c:tx>
            <c:strRef>
              <c:f>'State,UT'!$E$1:$F$1</c:f>
              <c:strCache>
                <c:ptCount val="2"/>
                <c:pt idx="0">
                  <c:v>Growth Rate</c:v>
                </c:pt>
                <c:pt idx="1">
                  <c:v>Total</c:v>
                </c:pt>
              </c:strCache>
            </c:strRef>
          </c:tx>
          <c:val>
            <c:numRef>
              <c:f>('State,UT'!$E$20,'State,UT'!$F$20)</c:f>
            </c:numRef>
          </c:val>
          <c:extLst>
            <c:ext xmlns:c16="http://schemas.microsoft.com/office/drawing/2014/chart" uri="{C3380CC4-5D6E-409C-BE32-E72D297353CC}">
              <c16:uniqueId val="{00000008-6085-43A2-BDA0-32121D1BCF07}"/>
            </c:ext>
          </c:extLst>
        </c:ser>
        <c:ser>
          <c:idx val="9"/>
          <c:order val="9"/>
          <c:tx>
            <c:strRef>
              <c:f>'State,UT'!$E$1:$F$1</c:f>
              <c:strCache>
                <c:ptCount val="2"/>
                <c:pt idx="0">
                  <c:v>Growth Rate</c:v>
                </c:pt>
                <c:pt idx="1">
                  <c:v>Total</c:v>
                </c:pt>
              </c:strCache>
            </c:strRef>
          </c:tx>
          <c:val>
            <c:numRef>
              <c:f>('State,UT'!$E$21,'State,UT'!$F$21)</c:f>
            </c:numRef>
          </c:val>
          <c:extLst>
            <c:ext xmlns:c16="http://schemas.microsoft.com/office/drawing/2014/chart" uri="{C3380CC4-5D6E-409C-BE32-E72D297353CC}">
              <c16:uniqueId val="{00000009-6085-43A2-BDA0-32121D1BCF07}"/>
            </c:ext>
          </c:extLst>
        </c:ser>
        <c:ser>
          <c:idx val="10"/>
          <c:order val="10"/>
          <c:tx>
            <c:strRef>
              <c:f>'State,UT'!$E$1:$F$1</c:f>
              <c:strCache>
                <c:ptCount val="2"/>
                <c:pt idx="0">
                  <c:v>Growth Rate</c:v>
                </c:pt>
                <c:pt idx="1">
                  <c:v>Total</c:v>
                </c:pt>
              </c:strCache>
            </c:strRef>
          </c:tx>
          <c:val>
            <c:numRef>
              <c:f>('State,UT'!$E$32,'State,UT'!$F$32)</c:f>
            </c:numRef>
          </c:val>
          <c:extLst>
            <c:ext xmlns:c16="http://schemas.microsoft.com/office/drawing/2014/chart" uri="{C3380CC4-5D6E-409C-BE32-E72D297353CC}">
              <c16:uniqueId val="{0000000A-6085-43A2-BDA0-32121D1BCF07}"/>
            </c:ext>
          </c:extLst>
        </c:ser>
        <c:ser>
          <c:idx val="11"/>
          <c:order val="11"/>
          <c:tx>
            <c:strRef>
              <c:f>'State,UT'!$E$1:$F$1</c:f>
              <c:strCache>
                <c:ptCount val="2"/>
                <c:pt idx="0">
                  <c:v>Growth Rate</c:v>
                </c:pt>
                <c:pt idx="1">
                  <c:v>Total</c:v>
                </c:pt>
              </c:strCache>
            </c:strRef>
          </c:tx>
          <c:val>
            <c:numRef>
              <c:f>('State,UT'!$E$33,'State,UT'!$F$33)</c:f>
            </c:numRef>
          </c:val>
          <c:extLst>
            <c:ext xmlns:c16="http://schemas.microsoft.com/office/drawing/2014/chart" uri="{C3380CC4-5D6E-409C-BE32-E72D297353CC}">
              <c16:uniqueId val="{0000000B-6085-43A2-BDA0-32121D1BCF07}"/>
            </c:ext>
          </c:extLst>
        </c:ser>
        <c:ser>
          <c:idx val="12"/>
          <c:order val="12"/>
          <c:tx>
            <c:strRef>
              <c:f>'State,UT'!$E$1:$F$1</c:f>
              <c:strCache>
                <c:ptCount val="2"/>
                <c:pt idx="0">
                  <c:v>Growth Rate</c:v>
                </c:pt>
                <c:pt idx="1">
                  <c:v>Total</c:v>
                </c:pt>
              </c:strCache>
            </c:strRef>
          </c:tx>
          <c:val>
            <c:numRef>
              <c:f>('State,UT'!$E$34,'State,UT'!$F$34)</c:f>
            </c:numRef>
          </c:val>
          <c:extLst>
            <c:ext xmlns:c16="http://schemas.microsoft.com/office/drawing/2014/chart" uri="{C3380CC4-5D6E-409C-BE32-E72D297353CC}">
              <c16:uniqueId val="{0000000C-6085-43A2-BDA0-32121D1BCF07}"/>
            </c:ext>
          </c:extLst>
        </c:ser>
        <c:ser>
          <c:idx val="13"/>
          <c:order val="13"/>
          <c:tx>
            <c:strRef>
              <c:f>'State,UT'!$E$1:$F$1</c:f>
              <c:strCache>
                <c:ptCount val="2"/>
                <c:pt idx="0">
                  <c:v>Growth Rate</c:v>
                </c:pt>
                <c:pt idx="1">
                  <c:v>Total</c:v>
                </c:pt>
              </c:strCache>
            </c:strRef>
          </c:tx>
          <c:val>
            <c:numRef>
              <c:f>('State,UT'!$E$35,'State,UT'!$F$35)</c:f>
            </c:numRef>
          </c:val>
          <c:extLst>
            <c:ext xmlns:c16="http://schemas.microsoft.com/office/drawing/2014/chart" uri="{C3380CC4-5D6E-409C-BE32-E72D297353CC}">
              <c16:uniqueId val="{0000000D-6085-43A2-BDA0-32121D1BCF07}"/>
            </c:ext>
          </c:extLst>
        </c:ser>
        <c:ser>
          <c:idx val="14"/>
          <c:order val="14"/>
          <c:tx>
            <c:strRef>
              <c:f>'State,UT'!$E$1:$F$1</c:f>
              <c:strCache>
                <c:ptCount val="2"/>
                <c:pt idx="0">
                  <c:v>Growth Rate</c:v>
                </c:pt>
                <c:pt idx="1">
                  <c:v>Total</c:v>
                </c:pt>
              </c:strCache>
            </c:strRef>
          </c:tx>
          <c:val>
            <c:numRef>
              <c:f>('State,UT'!$E$36,'State,UT'!$F$36)</c:f>
            </c:numRef>
          </c:val>
          <c:extLst>
            <c:ext xmlns:c16="http://schemas.microsoft.com/office/drawing/2014/chart" uri="{C3380CC4-5D6E-409C-BE32-E72D297353CC}">
              <c16:uniqueId val="{0000000E-6085-43A2-BDA0-32121D1BCF07}"/>
            </c:ext>
          </c:extLst>
        </c:ser>
        <c:ser>
          <c:idx val="15"/>
          <c:order val="15"/>
          <c:tx>
            <c:strRef>
              <c:f>'State,UT'!$E$1:$F$1</c:f>
              <c:strCache>
                <c:ptCount val="2"/>
                <c:pt idx="0">
                  <c:v>Growth Rate</c:v>
                </c:pt>
                <c:pt idx="1">
                  <c:v>Total</c:v>
                </c:pt>
              </c:strCache>
            </c:strRef>
          </c:tx>
          <c:val>
            <c:numRef>
              <c:f>('State,UT'!$E$47,'State,UT'!$F$47)</c:f>
            </c:numRef>
          </c:val>
          <c:extLst>
            <c:ext xmlns:c16="http://schemas.microsoft.com/office/drawing/2014/chart" uri="{C3380CC4-5D6E-409C-BE32-E72D297353CC}">
              <c16:uniqueId val="{0000000F-6085-43A2-BDA0-32121D1BCF07}"/>
            </c:ext>
          </c:extLst>
        </c:ser>
        <c:ser>
          <c:idx val="16"/>
          <c:order val="16"/>
          <c:tx>
            <c:strRef>
              <c:f>'State,UT'!$E$1:$F$1</c:f>
              <c:strCache>
                <c:ptCount val="2"/>
                <c:pt idx="0">
                  <c:v>Growth Rate</c:v>
                </c:pt>
                <c:pt idx="1">
                  <c:v>Total</c:v>
                </c:pt>
              </c:strCache>
            </c:strRef>
          </c:tx>
          <c:val>
            <c:numRef>
              <c:f>('State,UT'!$E$48,'State,UT'!$F$48)</c:f>
            </c:numRef>
          </c:val>
          <c:extLst>
            <c:ext xmlns:c16="http://schemas.microsoft.com/office/drawing/2014/chart" uri="{C3380CC4-5D6E-409C-BE32-E72D297353CC}">
              <c16:uniqueId val="{00000010-6085-43A2-BDA0-32121D1BCF07}"/>
            </c:ext>
          </c:extLst>
        </c:ser>
        <c:ser>
          <c:idx val="17"/>
          <c:order val="17"/>
          <c:tx>
            <c:strRef>
              <c:f>'State,UT'!$E$1:$F$1</c:f>
              <c:strCache>
                <c:ptCount val="2"/>
                <c:pt idx="0">
                  <c:v>Growth Rate</c:v>
                </c:pt>
                <c:pt idx="1">
                  <c:v>Total</c:v>
                </c:pt>
              </c:strCache>
            </c:strRef>
          </c:tx>
          <c:val>
            <c:numRef>
              <c:f>('State,UT'!$E$49,'State,UT'!$F$49)</c:f>
            </c:numRef>
          </c:val>
          <c:extLst>
            <c:ext xmlns:c16="http://schemas.microsoft.com/office/drawing/2014/chart" uri="{C3380CC4-5D6E-409C-BE32-E72D297353CC}">
              <c16:uniqueId val="{00000011-6085-43A2-BDA0-32121D1BCF07}"/>
            </c:ext>
          </c:extLst>
        </c:ser>
        <c:ser>
          <c:idx val="18"/>
          <c:order val="18"/>
          <c:tx>
            <c:strRef>
              <c:f>'State,UT'!$E$1:$F$1</c:f>
              <c:strCache>
                <c:ptCount val="2"/>
                <c:pt idx="0">
                  <c:v>Growth Rate</c:v>
                </c:pt>
                <c:pt idx="1">
                  <c:v>Total</c:v>
                </c:pt>
              </c:strCache>
            </c:strRef>
          </c:tx>
          <c:val>
            <c:numRef>
              <c:f>('State,UT'!$E$50,'State,UT'!$F$50)</c:f>
            </c:numRef>
          </c:val>
          <c:extLst>
            <c:ext xmlns:c16="http://schemas.microsoft.com/office/drawing/2014/chart" uri="{C3380CC4-5D6E-409C-BE32-E72D297353CC}">
              <c16:uniqueId val="{00000012-6085-43A2-BDA0-32121D1BCF07}"/>
            </c:ext>
          </c:extLst>
        </c:ser>
        <c:ser>
          <c:idx val="19"/>
          <c:order val="19"/>
          <c:tx>
            <c:strRef>
              <c:f>'State,UT'!$E$1:$F$1</c:f>
              <c:strCache>
                <c:ptCount val="2"/>
                <c:pt idx="0">
                  <c:v>Growth Rate</c:v>
                </c:pt>
                <c:pt idx="1">
                  <c:v>Total</c:v>
                </c:pt>
              </c:strCache>
            </c:strRef>
          </c:tx>
          <c:val>
            <c:numRef>
              <c:f>('State,UT'!$E$51,'State,UT'!$F$51)</c:f>
            </c:numRef>
          </c:val>
          <c:extLst>
            <c:ext xmlns:c16="http://schemas.microsoft.com/office/drawing/2014/chart" uri="{C3380CC4-5D6E-409C-BE32-E72D297353CC}">
              <c16:uniqueId val="{00000013-6085-43A2-BDA0-32121D1BCF07}"/>
            </c:ext>
          </c:extLst>
        </c:ser>
        <c:ser>
          <c:idx val="20"/>
          <c:order val="20"/>
          <c:tx>
            <c:strRef>
              <c:f>'State,UT'!$E$1:$F$1</c:f>
              <c:strCache>
                <c:ptCount val="2"/>
                <c:pt idx="0">
                  <c:v>Growth Rate</c:v>
                </c:pt>
                <c:pt idx="1">
                  <c:v>Total</c:v>
                </c:pt>
              </c:strCache>
            </c:strRef>
          </c:tx>
          <c:val>
            <c:numRef>
              <c:f>('State,UT'!$E$62,'State,UT'!$F$62)</c:f>
            </c:numRef>
          </c:val>
          <c:extLst>
            <c:ext xmlns:c16="http://schemas.microsoft.com/office/drawing/2014/chart" uri="{C3380CC4-5D6E-409C-BE32-E72D297353CC}">
              <c16:uniqueId val="{00000014-6085-43A2-BDA0-32121D1BCF07}"/>
            </c:ext>
          </c:extLst>
        </c:ser>
        <c:ser>
          <c:idx val="21"/>
          <c:order val="21"/>
          <c:tx>
            <c:strRef>
              <c:f>'State,UT'!$E$1:$F$1</c:f>
              <c:strCache>
                <c:ptCount val="2"/>
                <c:pt idx="0">
                  <c:v>Growth Rate</c:v>
                </c:pt>
                <c:pt idx="1">
                  <c:v>Total</c:v>
                </c:pt>
              </c:strCache>
            </c:strRef>
          </c:tx>
          <c:val>
            <c:numRef>
              <c:f>('State,UT'!$E$63,'State,UT'!$F$63)</c:f>
            </c:numRef>
          </c:val>
          <c:extLst>
            <c:ext xmlns:c16="http://schemas.microsoft.com/office/drawing/2014/chart" uri="{C3380CC4-5D6E-409C-BE32-E72D297353CC}">
              <c16:uniqueId val="{00000015-6085-43A2-BDA0-32121D1BCF07}"/>
            </c:ext>
          </c:extLst>
        </c:ser>
        <c:ser>
          <c:idx val="22"/>
          <c:order val="22"/>
          <c:tx>
            <c:strRef>
              <c:f>'State,UT'!$E$1:$F$1</c:f>
              <c:strCache>
                <c:ptCount val="2"/>
                <c:pt idx="0">
                  <c:v>Growth Rate</c:v>
                </c:pt>
                <c:pt idx="1">
                  <c:v>Total</c:v>
                </c:pt>
              </c:strCache>
            </c:strRef>
          </c:tx>
          <c:val>
            <c:numRef>
              <c:f>('State,UT'!$E$64,'State,UT'!$F$64)</c:f>
            </c:numRef>
          </c:val>
          <c:extLst>
            <c:ext xmlns:c16="http://schemas.microsoft.com/office/drawing/2014/chart" uri="{C3380CC4-5D6E-409C-BE32-E72D297353CC}">
              <c16:uniqueId val="{00000016-6085-43A2-BDA0-32121D1BCF07}"/>
            </c:ext>
          </c:extLst>
        </c:ser>
        <c:ser>
          <c:idx val="23"/>
          <c:order val="23"/>
          <c:tx>
            <c:strRef>
              <c:f>'State,UT'!$E$1:$F$1</c:f>
              <c:strCache>
                <c:ptCount val="2"/>
                <c:pt idx="0">
                  <c:v>Growth Rate</c:v>
                </c:pt>
                <c:pt idx="1">
                  <c:v>Total</c:v>
                </c:pt>
              </c:strCache>
            </c:strRef>
          </c:tx>
          <c:val>
            <c:numRef>
              <c:f>('State,UT'!$E$65,'State,UT'!$F$65)</c:f>
            </c:numRef>
          </c:val>
          <c:extLst>
            <c:ext xmlns:c16="http://schemas.microsoft.com/office/drawing/2014/chart" uri="{C3380CC4-5D6E-409C-BE32-E72D297353CC}">
              <c16:uniqueId val="{00000017-6085-43A2-BDA0-32121D1BCF07}"/>
            </c:ext>
          </c:extLst>
        </c:ser>
        <c:ser>
          <c:idx val="24"/>
          <c:order val="24"/>
          <c:tx>
            <c:strRef>
              <c:f>'State,UT'!$E$1:$F$1</c:f>
              <c:strCache>
                <c:ptCount val="2"/>
                <c:pt idx="0">
                  <c:v>Growth Rate</c:v>
                </c:pt>
                <c:pt idx="1">
                  <c:v>Total</c:v>
                </c:pt>
              </c:strCache>
            </c:strRef>
          </c:tx>
          <c:val>
            <c:numRef>
              <c:f>('State,UT'!$E$66,'State,UT'!$F$66)</c:f>
            </c:numRef>
          </c:val>
          <c:extLst>
            <c:ext xmlns:c16="http://schemas.microsoft.com/office/drawing/2014/chart" uri="{C3380CC4-5D6E-409C-BE32-E72D297353CC}">
              <c16:uniqueId val="{00000018-6085-43A2-BDA0-32121D1BCF07}"/>
            </c:ext>
          </c:extLst>
        </c:ser>
        <c:ser>
          <c:idx val="25"/>
          <c:order val="25"/>
          <c:tx>
            <c:strRef>
              <c:f>'State,UT'!$E$1:$F$1</c:f>
              <c:strCache>
                <c:ptCount val="2"/>
                <c:pt idx="0">
                  <c:v>Growth Rate</c:v>
                </c:pt>
                <c:pt idx="1">
                  <c:v>Total</c:v>
                </c:pt>
              </c:strCache>
            </c:strRef>
          </c:tx>
          <c:val>
            <c:numRef>
              <c:f>('State,UT'!$E$77,'State,UT'!$F$77)</c:f>
            </c:numRef>
          </c:val>
          <c:extLst>
            <c:ext xmlns:c16="http://schemas.microsoft.com/office/drawing/2014/chart" uri="{C3380CC4-5D6E-409C-BE32-E72D297353CC}">
              <c16:uniqueId val="{00000019-6085-43A2-BDA0-32121D1BCF07}"/>
            </c:ext>
          </c:extLst>
        </c:ser>
        <c:ser>
          <c:idx val="26"/>
          <c:order val="26"/>
          <c:tx>
            <c:strRef>
              <c:f>'State,UT'!$E$1:$F$1</c:f>
              <c:strCache>
                <c:ptCount val="2"/>
                <c:pt idx="0">
                  <c:v>Growth Rate</c:v>
                </c:pt>
                <c:pt idx="1">
                  <c:v>Total</c:v>
                </c:pt>
              </c:strCache>
            </c:strRef>
          </c:tx>
          <c:val>
            <c:numRef>
              <c:f>('State,UT'!$E$78,'State,UT'!$F$78)</c:f>
            </c:numRef>
          </c:val>
          <c:extLst>
            <c:ext xmlns:c16="http://schemas.microsoft.com/office/drawing/2014/chart" uri="{C3380CC4-5D6E-409C-BE32-E72D297353CC}">
              <c16:uniqueId val="{0000001A-6085-43A2-BDA0-32121D1BCF07}"/>
            </c:ext>
          </c:extLst>
        </c:ser>
        <c:ser>
          <c:idx val="27"/>
          <c:order val="27"/>
          <c:tx>
            <c:strRef>
              <c:f>'State,UT'!$E$1:$F$1</c:f>
              <c:strCache>
                <c:ptCount val="2"/>
                <c:pt idx="0">
                  <c:v>Growth Rate</c:v>
                </c:pt>
                <c:pt idx="1">
                  <c:v>Total</c:v>
                </c:pt>
              </c:strCache>
            </c:strRef>
          </c:tx>
          <c:val>
            <c:numRef>
              <c:f>('State,UT'!$E$79,'State,UT'!$F$79)</c:f>
            </c:numRef>
          </c:val>
          <c:extLst>
            <c:ext xmlns:c16="http://schemas.microsoft.com/office/drawing/2014/chart" uri="{C3380CC4-5D6E-409C-BE32-E72D297353CC}">
              <c16:uniqueId val="{0000001B-6085-43A2-BDA0-32121D1BCF07}"/>
            </c:ext>
          </c:extLst>
        </c:ser>
        <c:ser>
          <c:idx val="28"/>
          <c:order val="28"/>
          <c:tx>
            <c:strRef>
              <c:f>'State,UT'!$E$1:$F$1</c:f>
              <c:strCache>
                <c:ptCount val="2"/>
                <c:pt idx="0">
                  <c:v>Growth Rate</c:v>
                </c:pt>
                <c:pt idx="1">
                  <c:v>Total</c:v>
                </c:pt>
              </c:strCache>
            </c:strRef>
          </c:tx>
          <c:val>
            <c:numRef>
              <c:f>('State,UT'!$E$80,'State,UT'!$F$80)</c:f>
            </c:numRef>
          </c:val>
          <c:extLst>
            <c:ext xmlns:c16="http://schemas.microsoft.com/office/drawing/2014/chart" uri="{C3380CC4-5D6E-409C-BE32-E72D297353CC}">
              <c16:uniqueId val="{0000001C-6085-43A2-BDA0-32121D1BCF07}"/>
            </c:ext>
          </c:extLst>
        </c:ser>
        <c:ser>
          <c:idx val="29"/>
          <c:order val="29"/>
          <c:tx>
            <c:strRef>
              <c:f>'State,UT'!$E$1:$F$1</c:f>
              <c:strCache>
                <c:ptCount val="2"/>
                <c:pt idx="0">
                  <c:v>Growth Rate</c:v>
                </c:pt>
                <c:pt idx="1">
                  <c:v>Total</c:v>
                </c:pt>
              </c:strCache>
            </c:strRef>
          </c:tx>
          <c:val>
            <c:numRef>
              <c:f>('State,UT'!$E$81,'State,UT'!$F$81)</c:f>
            </c:numRef>
          </c:val>
          <c:extLst>
            <c:ext xmlns:c16="http://schemas.microsoft.com/office/drawing/2014/chart" uri="{C3380CC4-5D6E-409C-BE32-E72D297353CC}">
              <c16:uniqueId val="{0000001D-6085-43A2-BDA0-32121D1BCF07}"/>
            </c:ext>
          </c:extLst>
        </c:ser>
        <c:ser>
          <c:idx val="30"/>
          <c:order val="30"/>
          <c:tx>
            <c:strRef>
              <c:f>'State,UT'!$E$1:$F$1</c:f>
              <c:strCache>
                <c:ptCount val="2"/>
                <c:pt idx="0">
                  <c:v>Growth Rate</c:v>
                </c:pt>
                <c:pt idx="1">
                  <c:v>Total</c:v>
                </c:pt>
              </c:strCache>
            </c:strRef>
          </c:tx>
          <c:val>
            <c:numRef>
              <c:f>('State,UT'!$E$92,'State,UT'!$F$92)</c:f>
            </c:numRef>
          </c:val>
          <c:extLst>
            <c:ext xmlns:c16="http://schemas.microsoft.com/office/drawing/2014/chart" uri="{C3380CC4-5D6E-409C-BE32-E72D297353CC}">
              <c16:uniqueId val="{0000001E-6085-43A2-BDA0-32121D1BCF07}"/>
            </c:ext>
          </c:extLst>
        </c:ser>
        <c:ser>
          <c:idx val="31"/>
          <c:order val="31"/>
          <c:tx>
            <c:strRef>
              <c:f>'State,UT'!$E$1:$F$1</c:f>
              <c:strCache>
                <c:ptCount val="2"/>
                <c:pt idx="0">
                  <c:v>Growth Rate</c:v>
                </c:pt>
                <c:pt idx="1">
                  <c:v>Total</c:v>
                </c:pt>
              </c:strCache>
            </c:strRef>
          </c:tx>
          <c:val>
            <c:numRef>
              <c:f>('State,UT'!$E$93,'State,UT'!$F$93)</c:f>
            </c:numRef>
          </c:val>
          <c:extLst>
            <c:ext xmlns:c16="http://schemas.microsoft.com/office/drawing/2014/chart" uri="{C3380CC4-5D6E-409C-BE32-E72D297353CC}">
              <c16:uniqueId val="{0000001F-6085-43A2-BDA0-32121D1BCF07}"/>
            </c:ext>
          </c:extLst>
        </c:ser>
        <c:ser>
          <c:idx val="32"/>
          <c:order val="32"/>
          <c:tx>
            <c:strRef>
              <c:f>'State,UT'!$E$1:$F$1</c:f>
              <c:strCache>
                <c:ptCount val="2"/>
                <c:pt idx="0">
                  <c:v>Growth Rate</c:v>
                </c:pt>
                <c:pt idx="1">
                  <c:v>Total</c:v>
                </c:pt>
              </c:strCache>
            </c:strRef>
          </c:tx>
          <c:val>
            <c:numRef>
              <c:f>('State,UT'!$E$94,'State,UT'!$F$94)</c:f>
            </c:numRef>
          </c:val>
          <c:extLst>
            <c:ext xmlns:c16="http://schemas.microsoft.com/office/drawing/2014/chart" uri="{C3380CC4-5D6E-409C-BE32-E72D297353CC}">
              <c16:uniqueId val="{00000020-6085-43A2-BDA0-32121D1BCF07}"/>
            </c:ext>
          </c:extLst>
        </c:ser>
        <c:ser>
          <c:idx val="33"/>
          <c:order val="33"/>
          <c:tx>
            <c:strRef>
              <c:f>'State,UT'!$E$1:$F$1</c:f>
              <c:strCache>
                <c:ptCount val="2"/>
                <c:pt idx="0">
                  <c:v>Growth Rate</c:v>
                </c:pt>
                <c:pt idx="1">
                  <c:v>Total</c:v>
                </c:pt>
              </c:strCache>
            </c:strRef>
          </c:tx>
          <c:val>
            <c:numRef>
              <c:f>('State,UT'!$E$95,'State,UT'!$F$95)</c:f>
            </c:numRef>
          </c:val>
          <c:extLst>
            <c:ext xmlns:c16="http://schemas.microsoft.com/office/drawing/2014/chart" uri="{C3380CC4-5D6E-409C-BE32-E72D297353CC}">
              <c16:uniqueId val="{00000021-6085-43A2-BDA0-32121D1BCF07}"/>
            </c:ext>
          </c:extLst>
        </c:ser>
        <c:ser>
          <c:idx val="34"/>
          <c:order val="34"/>
          <c:tx>
            <c:strRef>
              <c:f>'State,UT'!$E$1:$F$1</c:f>
              <c:strCache>
                <c:ptCount val="2"/>
                <c:pt idx="0">
                  <c:v>Growth Rate</c:v>
                </c:pt>
                <c:pt idx="1">
                  <c:v>Total</c:v>
                </c:pt>
              </c:strCache>
            </c:strRef>
          </c:tx>
          <c:val>
            <c:numRef>
              <c:f>('State,UT'!$E$96,'State,UT'!$F$96)</c:f>
            </c:numRef>
          </c:val>
          <c:extLst>
            <c:ext xmlns:c16="http://schemas.microsoft.com/office/drawing/2014/chart" uri="{C3380CC4-5D6E-409C-BE32-E72D297353CC}">
              <c16:uniqueId val="{00000022-6085-43A2-BDA0-32121D1BCF07}"/>
            </c:ext>
          </c:extLst>
        </c:ser>
        <c:ser>
          <c:idx val="35"/>
          <c:order val="35"/>
          <c:tx>
            <c:strRef>
              <c:f>'State,UT'!$E$1:$F$1</c:f>
              <c:strCache>
                <c:ptCount val="2"/>
                <c:pt idx="0">
                  <c:v>Growth Rate</c:v>
                </c:pt>
                <c:pt idx="1">
                  <c:v>Total</c:v>
                </c:pt>
              </c:strCache>
            </c:strRef>
          </c:tx>
          <c:val>
            <c:numRef>
              <c:f>('State,UT'!$E$107,'State,UT'!$F$107)</c:f>
            </c:numRef>
          </c:val>
          <c:extLst>
            <c:ext xmlns:c16="http://schemas.microsoft.com/office/drawing/2014/chart" uri="{C3380CC4-5D6E-409C-BE32-E72D297353CC}">
              <c16:uniqueId val="{00000023-6085-43A2-BDA0-32121D1BCF07}"/>
            </c:ext>
          </c:extLst>
        </c:ser>
        <c:ser>
          <c:idx val="36"/>
          <c:order val="36"/>
          <c:tx>
            <c:strRef>
              <c:f>'State,UT'!$E$1:$F$1</c:f>
              <c:strCache>
                <c:ptCount val="2"/>
                <c:pt idx="0">
                  <c:v>Growth Rate</c:v>
                </c:pt>
                <c:pt idx="1">
                  <c:v>Total</c:v>
                </c:pt>
              </c:strCache>
            </c:strRef>
          </c:tx>
          <c:val>
            <c:numRef>
              <c:f>('State,UT'!$E$108,'State,UT'!$F$108)</c:f>
            </c:numRef>
          </c:val>
          <c:extLst>
            <c:ext xmlns:c16="http://schemas.microsoft.com/office/drawing/2014/chart" uri="{C3380CC4-5D6E-409C-BE32-E72D297353CC}">
              <c16:uniqueId val="{00000024-6085-43A2-BDA0-32121D1BCF07}"/>
            </c:ext>
          </c:extLst>
        </c:ser>
        <c:ser>
          <c:idx val="37"/>
          <c:order val="37"/>
          <c:tx>
            <c:strRef>
              <c:f>'State,UT'!$E$1:$F$1</c:f>
              <c:strCache>
                <c:ptCount val="2"/>
                <c:pt idx="0">
                  <c:v>Growth Rate</c:v>
                </c:pt>
                <c:pt idx="1">
                  <c:v>Total</c:v>
                </c:pt>
              </c:strCache>
            </c:strRef>
          </c:tx>
          <c:val>
            <c:numRef>
              <c:f>('State,UT'!$E$109,'State,UT'!$F$109)</c:f>
            </c:numRef>
          </c:val>
          <c:extLst>
            <c:ext xmlns:c16="http://schemas.microsoft.com/office/drawing/2014/chart" uri="{C3380CC4-5D6E-409C-BE32-E72D297353CC}">
              <c16:uniqueId val="{00000025-6085-43A2-BDA0-32121D1BCF07}"/>
            </c:ext>
          </c:extLst>
        </c:ser>
        <c:ser>
          <c:idx val="38"/>
          <c:order val="38"/>
          <c:tx>
            <c:strRef>
              <c:f>'State,UT'!$E$1:$F$1</c:f>
              <c:strCache>
                <c:ptCount val="2"/>
                <c:pt idx="0">
                  <c:v>Growth Rate</c:v>
                </c:pt>
                <c:pt idx="1">
                  <c:v>Total</c:v>
                </c:pt>
              </c:strCache>
            </c:strRef>
          </c:tx>
          <c:val>
            <c:numRef>
              <c:f>('State,UT'!$E$110,'State,UT'!$F$110)</c:f>
            </c:numRef>
          </c:val>
          <c:extLst>
            <c:ext xmlns:c16="http://schemas.microsoft.com/office/drawing/2014/chart" uri="{C3380CC4-5D6E-409C-BE32-E72D297353CC}">
              <c16:uniqueId val="{00000026-6085-43A2-BDA0-32121D1BCF07}"/>
            </c:ext>
          </c:extLst>
        </c:ser>
        <c:ser>
          <c:idx val="39"/>
          <c:order val="39"/>
          <c:tx>
            <c:strRef>
              <c:f>'State,UT'!$E$1:$F$1</c:f>
              <c:strCache>
                <c:ptCount val="2"/>
                <c:pt idx="0">
                  <c:v>Growth Rate</c:v>
                </c:pt>
                <c:pt idx="1">
                  <c:v>Total</c:v>
                </c:pt>
              </c:strCache>
            </c:strRef>
          </c:tx>
          <c:val>
            <c:numRef>
              <c:f>('State,UT'!$E$111,'State,UT'!$F$111)</c:f>
            </c:numRef>
          </c:val>
          <c:extLst>
            <c:ext xmlns:c16="http://schemas.microsoft.com/office/drawing/2014/chart" uri="{C3380CC4-5D6E-409C-BE32-E72D297353CC}">
              <c16:uniqueId val="{00000027-6085-43A2-BDA0-32121D1BCF07}"/>
            </c:ext>
          </c:extLst>
        </c:ser>
        <c:ser>
          <c:idx val="40"/>
          <c:order val="40"/>
          <c:tx>
            <c:strRef>
              <c:f>'State,UT'!$E$1:$F$1</c:f>
              <c:strCache>
                <c:ptCount val="2"/>
                <c:pt idx="0">
                  <c:v>Growth Rate</c:v>
                </c:pt>
                <c:pt idx="1">
                  <c:v>Total</c:v>
                </c:pt>
              </c:strCache>
            </c:strRef>
          </c:tx>
          <c:val>
            <c:numRef>
              <c:f>('State,UT'!$E$122,'State,UT'!$F$122)</c:f>
            </c:numRef>
          </c:val>
          <c:extLst>
            <c:ext xmlns:c16="http://schemas.microsoft.com/office/drawing/2014/chart" uri="{C3380CC4-5D6E-409C-BE32-E72D297353CC}">
              <c16:uniqueId val="{00000028-6085-43A2-BDA0-32121D1BCF07}"/>
            </c:ext>
          </c:extLst>
        </c:ser>
        <c:ser>
          <c:idx val="41"/>
          <c:order val="41"/>
          <c:tx>
            <c:strRef>
              <c:f>'State,UT'!$E$1:$F$1</c:f>
              <c:strCache>
                <c:ptCount val="2"/>
                <c:pt idx="0">
                  <c:v>Growth Rate</c:v>
                </c:pt>
                <c:pt idx="1">
                  <c:v>Total</c:v>
                </c:pt>
              </c:strCache>
            </c:strRef>
          </c:tx>
          <c:val>
            <c:numRef>
              <c:f>('State,UT'!$E$123,'State,UT'!$F$123)</c:f>
            </c:numRef>
          </c:val>
          <c:extLst>
            <c:ext xmlns:c16="http://schemas.microsoft.com/office/drawing/2014/chart" uri="{C3380CC4-5D6E-409C-BE32-E72D297353CC}">
              <c16:uniqueId val="{00000029-6085-43A2-BDA0-32121D1BCF07}"/>
            </c:ext>
          </c:extLst>
        </c:ser>
        <c:ser>
          <c:idx val="42"/>
          <c:order val="42"/>
          <c:tx>
            <c:strRef>
              <c:f>'State,UT'!$E$1:$F$1</c:f>
              <c:strCache>
                <c:ptCount val="2"/>
                <c:pt idx="0">
                  <c:v>Growth Rate</c:v>
                </c:pt>
                <c:pt idx="1">
                  <c:v>Total</c:v>
                </c:pt>
              </c:strCache>
            </c:strRef>
          </c:tx>
          <c:val>
            <c:numRef>
              <c:f>('State,UT'!$E$124,'State,UT'!$F$124)</c:f>
            </c:numRef>
          </c:val>
          <c:extLst>
            <c:ext xmlns:c16="http://schemas.microsoft.com/office/drawing/2014/chart" uri="{C3380CC4-5D6E-409C-BE32-E72D297353CC}">
              <c16:uniqueId val="{0000002A-6085-43A2-BDA0-32121D1BCF07}"/>
            </c:ext>
          </c:extLst>
        </c:ser>
        <c:ser>
          <c:idx val="43"/>
          <c:order val="43"/>
          <c:tx>
            <c:strRef>
              <c:f>'State,UT'!$E$1:$F$1</c:f>
              <c:strCache>
                <c:ptCount val="2"/>
                <c:pt idx="0">
                  <c:v>Growth Rate</c:v>
                </c:pt>
                <c:pt idx="1">
                  <c:v>Total</c:v>
                </c:pt>
              </c:strCache>
            </c:strRef>
          </c:tx>
          <c:val>
            <c:numRef>
              <c:f>('State,UT'!$E$125,'State,UT'!$F$125)</c:f>
            </c:numRef>
          </c:val>
          <c:extLst>
            <c:ext xmlns:c16="http://schemas.microsoft.com/office/drawing/2014/chart" uri="{C3380CC4-5D6E-409C-BE32-E72D297353CC}">
              <c16:uniqueId val="{0000002B-6085-43A2-BDA0-32121D1BCF07}"/>
            </c:ext>
          </c:extLst>
        </c:ser>
        <c:ser>
          <c:idx val="44"/>
          <c:order val="44"/>
          <c:tx>
            <c:strRef>
              <c:f>'State,UT'!$E$1:$F$1</c:f>
              <c:strCache>
                <c:ptCount val="2"/>
                <c:pt idx="0">
                  <c:v>Growth Rate</c:v>
                </c:pt>
                <c:pt idx="1">
                  <c:v>Total</c:v>
                </c:pt>
              </c:strCache>
            </c:strRef>
          </c:tx>
          <c:val>
            <c:numRef>
              <c:f>('State,UT'!$E$126,'State,UT'!$F$126)</c:f>
            </c:numRef>
          </c:val>
          <c:extLst>
            <c:ext xmlns:c16="http://schemas.microsoft.com/office/drawing/2014/chart" uri="{C3380CC4-5D6E-409C-BE32-E72D297353CC}">
              <c16:uniqueId val="{0000002C-6085-43A2-BDA0-32121D1BCF07}"/>
            </c:ext>
          </c:extLst>
        </c:ser>
        <c:ser>
          <c:idx val="45"/>
          <c:order val="45"/>
          <c:tx>
            <c:strRef>
              <c:f>'State,UT'!$E$1:$F$1</c:f>
              <c:strCache>
                <c:ptCount val="2"/>
                <c:pt idx="0">
                  <c:v>Growth Rate</c:v>
                </c:pt>
                <c:pt idx="1">
                  <c:v>Total</c:v>
                </c:pt>
              </c:strCache>
            </c:strRef>
          </c:tx>
          <c:val>
            <c:numRef>
              <c:f>('State,UT'!$E$141,'State,UT'!$F$141)</c:f>
            </c:numRef>
          </c:val>
          <c:extLst>
            <c:ext xmlns:c16="http://schemas.microsoft.com/office/drawing/2014/chart" uri="{C3380CC4-5D6E-409C-BE32-E72D297353CC}">
              <c16:uniqueId val="{0000002D-6085-43A2-BDA0-32121D1BCF07}"/>
            </c:ext>
          </c:extLst>
        </c:ser>
        <c:ser>
          <c:idx val="46"/>
          <c:order val="46"/>
          <c:tx>
            <c:strRef>
              <c:f>'State,UT'!$E$1:$F$1</c:f>
              <c:strCache>
                <c:ptCount val="2"/>
                <c:pt idx="0">
                  <c:v>Growth Rate</c:v>
                </c:pt>
                <c:pt idx="1">
                  <c:v>Total</c:v>
                </c:pt>
              </c:strCache>
            </c:strRef>
          </c:tx>
          <c:val>
            <c:numRef>
              <c:f>('State,UT'!$E$137,'State,UT'!$F$137)</c:f>
            </c:numRef>
          </c:val>
          <c:extLst>
            <c:ext xmlns:c16="http://schemas.microsoft.com/office/drawing/2014/chart" uri="{C3380CC4-5D6E-409C-BE32-E72D297353CC}">
              <c16:uniqueId val="{0000002E-6085-43A2-BDA0-32121D1BCF07}"/>
            </c:ext>
          </c:extLst>
        </c:ser>
        <c:ser>
          <c:idx val="47"/>
          <c:order val="47"/>
          <c:tx>
            <c:strRef>
              <c:f>'State,UT'!$E$1:$F$1</c:f>
              <c:strCache>
                <c:ptCount val="2"/>
                <c:pt idx="0">
                  <c:v>Growth Rate</c:v>
                </c:pt>
                <c:pt idx="1">
                  <c:v>Total</c:v>
                </c:pt>
              </c:strCache>
            </c:strRef>
          </c:tx>
          <c:val>
            <c:numRef>
              <c:f>('State,UT'!$E$138,'State,UT'!$F$138)</c:f>
            </c:numRef>
          </c:val>
          <c:extLst>
            <c:ext xmlns:c16="http://schemas.microsoft.com/office/drawing/2014/chart" uri="{C3380CC4-5D6E-409C-BE32-E72D297353CC}">
              <c16:uniqueId val="{0000002F-6085-43A2-BDA0-32121D1BCF07}"/>
            </c:ext>
          </c:extLst>
        </c:ser>
        <c:ser>
          <c:idx val="48"/>
          <c:order val="48"/>
          <c:tx>
            <c:strRef>
              <c:f>'State,UT'!$E$1:$F$1</c:f>
              <c:strCache>
                <c:ptCount val="2"/>
                <c:pt idx="0">
                  <c:v>Growth Rate</c:v>
                </c:pt>
                <c:pt idx="1">
                  <c:v>Total</c:v>
                </c:pt>
              </c:strCache>
            </c:strRef>
          </c:tx>
          <c:val>
            <c:numRef>
              <c:f>('State,UT'!$E$139,'State,UT'!$F$139)</c:f>
            </c:numRef>
          </c:val>
          <c:extLst>
            <c:ext xmlns:c16="http://schemas.microsoft.com/office/drawing/2014/chart" uri="{C3380CC4-5D6E-409C-BE32-E72D297353CC}">
              <c16:uniqueId val="{00000030-6085-43A2-BDA0-32121D1BCF07}"/>
            </c:ext>
          </c:extLst>
        </c:ser>
        <c:ser>
          <c:idx val="49"/>
          <c:order val="49"/>
          <c:tx>
            <c:strRef>
              <c:f>'State,UT'!$E$1:$F$1</c:f>
              <c:strCache>
                <c:ptCount val="2"/>
                <c:pt idx="0">
                  <c:v>Growth Rate</c:v>
                </c:pt>
                <c:pt idx="1">
                  <c:v>Total</c:v>
                </c:pt>
              </c:strCache>
            </c:strRef>
          </c:tx>
          <c:val>
            <c:numRef>
              <c:f>('State,UT'!$E$140,'State,UT'!$F$140)</c:f>
            </c:numRef>
          </c:val>
          <c:extLst>
            <c:ext xmlns:c16="http://schemas.microsoft.com/office/drawing/2014/chart" uri="{C3380CC4-5D6E-409C-BE32-E72D297353CC}">
              <c16:uniqueId val="{00000031-6085-43A2-BDA0-32121D1BCF07}"/>
            </c:ext>
          </c:extLst>
        </c:ser>
        <c:ser>
          <c:idx val="50"/>
          <c:order val="50"/>
          <c:tx>
            <c:strRef>
              <c:f>'State,UT'!$E$1:$F$1</c:f>
              <c:strCache>
                <c:ptCount val="2"/>
                <c:pt idx="0">
                  <c:v>Growth Rate</c:v>
                </c:pt>
                <c:pt idx="1">
                  <c:v>Total</c:v>
                </c:pt>
              </c:strCache>
            </c:strRef>
          </c:tx>
          <c:val>
            <c:numRef>
              <c:f>('State,UT'!$E$152,'State,UT'!$F$152)</c:f>
            </c:numRef>
          </c:val>
          <c:extLst>
            <c:ext xmlns:c16="http://schemas.microsoft.com/office/drawing/2014/chart" uri="{C3380CC4-5D6E-409C-BE32-E72D297353CC}">
              <c16:uniqueId val="{00000032-6085-43A2-BDA0-32121D1BCF07}"/>
            </c:ext>
          </c:extLst>
        </c:ser>
        <c:ser>
          <c:idx val="51"/>
          <c:order val="51"/>
          <c:tx>
            <c:strRef>
              <c:f>'State,UT'!$E$1:$F$1</c:f>
              <c:strCache>
                <c:ptCount val="2"/>
                <c:pt idx="0">
                  <c:v>Growth Rate</c:v>
                </c:pt>
                <c:pt idx="1">
                  <c:v>Total</c:v>
                </c:pt>
              </c:strCache>
            </c:strRef>
          </c:tx>
          <c:val>
            <c:numRef>
              <c:f>('State,UT'!$E$153,'State,UT'!$F$153)</c:f>
            </c:numRef>
          </c:val>
          <c:extLst>
            <c:ext xmlns:c16="http://schemas.microsoft.com/office/drawing/2014/chart" uri="{C3380CC4-5D6E-409C-BE32-E72D297353CC}">
              <c16:uniqueId val="{00000033-6085-43A2-BDA0-32121D1BCF07}"/>
            </c:ext>
          </c:extLst>
        </c:ser>
        <c:ser>
          <c:idx val="52"/>
          <c:order val="52"/>
          <c:tx>
            <c:strRef>
              <c:f>'State,UT'!$E$1:$F$1</c:f>
              <c:strCache>
                <c:ptCount val="2"/>
                <c:pt idx="0">
                  <c:v>Growth Rate</c:v>
                </c:pt>
                <c:pt idx="1">
                  <c:v>Total</c:v>
                </c:pt>
              </c:strCache>
            </c:strRef>
          </c:tx>
          <c:val>
            <c:numRef>
              <c:f>('State,UT'!$E$154,'State,UT'!$F$154)</c:f>
            </c:numRef>
          </c:val>
          <c:extLst>
            <c:ext xmlns:c16="http://schemas.microsoft.com/office/drawing/2014/chart" uri="{C3380CC4-5D6E-409C-BE32-E72D297353CC}">
              <c16:uniqueId val="{00000034-6085-43A2-BDA0-32121D1BCF07}"/>
            </c:ext>
          </c:extLst>
        </c:ser>
        <c:ser>
          <c:idx val="53"/>
          <c:order val="53"/>
          <c:tx>
            <c:strRef>
              <c:f>'State,UT'!$E$1:$F$1</c:f>
              <c:strCache>
                <c:ptCount val="2"/>
                <c:pt idx="0">
                  <c:v>Growth Rate</c:v>
                </c:pt>
                <c:pt idx="1">
                  <c:v>Total</c:v>
                </c:pt>
              </c:strCache>
            </c:strRef>
          </c:tx>
          <c:val>
            <c:numRef>
              <c:f>('State,UT'!$E$155,'State,UT'!$F$155)</c:f>
            </c:numRef>
          </c:val>
          <c:extLst>
            <c:ext xmlns:c16="http://schemas.microsoft.com/office/drawing/2014/chart" uri="{C3380CC4-5D6E-409C-BE32-E72D297353CC}">
              <c16:uniqueId val="{00000035-6085-43A2-BDA0-32121D1BCF07}"/>
            </c:ext>
          </c:extLst>
        </c:ser>
        <c:ser>
          <c:idx val="54"/>
          <c:order val="54"/>
          <c:tx>
            <c:strRef>
              <c:f>'State,UT'!$E$1:$F$1</c:f>
              <c:strCache>
                <c:ptCount val="2"/>
                <c:pt idx="0">
                  <c:v>Growth Rate</c:v>
                </c:pt>
                <c:pt idx="1">
                  <c:v>Total</c:v>
                </c:pt>
              </c:strCache>
            </c:strRef>
          </c:tx>
          <c:val>
            <c:numRef>
              <c:f>('State,UT'!$E$156,'State,UT'!$F$156)</c:f>
            </c:numRef>
          </c:val>
          <c:extLst>
            <c:ext xmlns:c16="http://schemas.microsoft.com/office/drawing/2014/chart" uri="{C3380CC4-5D6E-409C-BE32-E72D297353CC}">
              <c16:uniqueId val="{00000036-6085-43A2-BDA0-32121D1BCF07}"/>
            </c:ext>
          </c:extLst>
        </c:ser>
        <c:ser>
          <c:idx val="55"/>
          <c:order val="55"/>
          <c:tx>
            <c:strRef>
              <c:f>'State,UT'!$E$1:$F$1</c:f>
              <c:strCache>
                <c:ptCount val="2"/>
                <c:pt idx="0">
                  <c:v>Growth Rate</c:v>
                </c:pt>
                <c:pt idx="1">
                  <c:v>Total</c:v>
                </c:pt>
              </c:strCache>
            </c:strRef>
          </c:tx>
          <c:val>
            <c:numRef>
              <c:f>('State,UT'!$E$167,'State,UT'!$F$167)</c:f>
            </c:numRef>
          </c:val>
          <c:extLst>
            <c:ext xmlns:c16="http://schemas.microsoft.com/office/drawing/2014/chart" uri="{C3380CC4-5D6E-409C-BE32-E72D297353CC}">
              <c16:uniqueId val="{00000037-6085-43A2-BDA0-32121D1BCF07}"/>
            </c:ext>
          </c:extLst>
        </c:ser>
        <c:ser>
          <c:idx val="56"/>
          <c:order val="56"/>
          <c:tx>
            <c:strRef>
              <c:f>'State,UT'!$E$1:$F$1</c:f>
              <c:strCache>
                <c:ptCount val="2"/>
                <c:pt idx="0">
                  <c:v>Growth Rate</c:v>
                </c:pt>
                <c:pt idx="1">
                  <c:v>Total</c:v>
                </c:pt>
              </c:strCache>
            </c:strRef>
          </c:tx>
          <c:val>
            <c:numRef>
              <c:f>('State,UT'!$E$168,'State,UT'!$F$168)</c:f>
            </c:numRef>
          </c:val>
          <c:extLst>
            <c:ext xmlns:c16="http://schemas.microsoft.com/office/drawing/2014/chart" uri="{C3380CC4-5D6E-409C-BE32-E72D297353CC}">
              <c16:uniqueId val="{00000038-6085-43A2-BDA0-32121D1BCF07}"/>
            </c:ext>
          </c:extLst>
        </c:ser>
        <c:ser>
          <c:idx val="57"/>
          <c:order val="57"/>
          <c:tx>
            <c:strRef>
              <c:f>'State,UT'!$E$1:$F$1</c:f>
              <c:strCache>
                <c:ptCount val="2"/>
                <c:pt idx="0">
                  <c:v>Growth Rate</c:v>
                </c:pt>
                <c:pt idx="1">
                  <c:v>Total</c:v>
                </c:pt>
              </c:strCache>
            </c:strRef>
          </c:tx>
          <c:val>
            <c:numRef>
              <c:f>('State,UT'!$E$169,'State,UT'!$F$169)</c:f>
            </c:numRef>
          </c:val>
          <c:extLst>
            <c:ext xmlns:c16="http://schemas.microsoft.com/office/drawing/2014/chart" uri="{C3380CC4-5D6E-409C-BE32-E72D297353CC}">
              <c16:uniqueId val="{00000039-6085-43A2-BDA0-32121D1BCF07}"/>
            </c:ext>
          </c:extLst>
        </c:ser>
        <c:ser>
          <c:idx val="58"/>
          <c:order val="58"/>
          <c:tx>
            <c:strRef>
              <c:f>'State,UT'!$E$1:$F$1</c:f>
              <c:strCache>
                <c:ptCount val="2"/>
                <c:pt idx="0">
                  <c:v>Growth Rate</c:v>
                </c:pt>
                <c:pt idx="1">
                  <c:v>Total</c:v>
                </c:pt>
              </c:strCache>
            </c:strRef>
          </c:tx>
          <c:val>
            <c:numRef>
              <c:f>('State,UT'!$E$170,'State,UT'!$F$170)</c:f>
            </c:numRef>
          </c:val>
          <c:extLst>
            <c:ext xmlns:c16="http://schemas.microsoft.com/office/drawing/2014/chart" uri="{C3380CC4-5D6E-409C-BE32-E72D297353CC}">
              <c16:uniqueId val="{0000003A-6085-43A2-BDA0-32121D1BCF07}"/>
            </c:ext>
          </c:extLst>
        </c:ser>
        <c:ser>
          <c:idx val="59"/>
          <c:order val="59"/>
          <c:tx>
            <c:strRef>
              <c:f>'State,UT'!$E$1:$F$1</c:f>
              <c:strCache>
                <c:ptCount val="2"/>
                <c:pt idx="0">
                  <c:v>Growth Rate</c:v>
                </c:pt>
                <c:pt idx="1">
                  <c:v>Total</c:v>
                </c:pt>
              </c:strCache>
            </c:strRef>
          </c:tx>
          <c:val>
            <c:numRef>
              <c:f>('State,UT'!$E$171,'State,UT'!$F$171)</c:f>
            </c:numRef>
          </c:val>
          <c:extLst>
            <c:ext xmlns:c16="http://schemas.microsoft.com/office/drawing/2014/chart" uri="{C3380CC4-5D6E-409C-BE32-E72D297353CC}">
              <c16:uniqueId val="{0000003B-6085-43A2-BDA0-32121D1BCF07}"/>
            </c:ext>
          </c:extLst>
        </c:ser>
        <c:ser>
          <c:idx val="60"/>
          <c:order val="60"/>
          <c:tx>
            <c:strRef>
              <c:f>'State,UT'!$E$1:$F$1</c:f>
              <c:strCache>
                <c:ptCount val="2"/>
                <c:pt idx="0">
                  <c:v>Growth Rate</c:v>
                </c:pt>
                <c:pt idx="1">
                  <c:v>Total</c:v>
                </c:pt>
              </c:strCache>
            </c:strRef>
          </c:tx>
          <c:val>
            <c:numRef>
              <c:f>('State,UT'!$E$182,'State,UT'!$F$182)</c:f>
            </c:numRef>
          </c:val>
          <c:extLst>
            <c:ext xmlns:c16="http://schemas.microsoft.com/office/drawing/2014/chart" uri="{C3380CC4-5D6E-409C-BE32-E72D297353CC}">
              <c16:uniqueId val="{0000003C-6085-43A2-BDA0-32121D1BCF07}"/>
            </c:ext>
          </c:extLst>
        </c:ser>
        <c:ser>
          <c:idx val="61"/>
          <c:order val="61"/>
          <c:tx>
            <c:strRef>
              <c:f>'State,UT'!$E$1:$F$1</c:f>
              <c:strCache>
                <c:ptCount val="2"/>
                <c:pt idx="0">
                  <c:v>Growth Rate</c:v>
                </c:pt>
                <c:pt idx="1">
                  <c:v>Total</c:v>
                </c:pt>
              </c:strCache>
            </c:strRef>
          </c:tx>
          <c:val>
            <c:numRef>
              <c:f>('State,UT'!$E$183,'State,UT'!$F$183)</c:f>
            </c:numRef>
          </c:val>
          <c:extLst>
            <c:ext xmlns:c16="http://schemas.microsoft.com/office/drawing/2014/chart" uri="{C3380CC4-5D6E-409C-BE32-E72D297353CC}">
              <c16:uniqueId val="{0000003D-6085-43A2-BDA0-32121D1BCF07}"/>
            </c:ext>
          </c:extLst>
        </c:ser>
        <c:ser>
          <c:idx val="62"/>
          <c:order val="62"/>
          <c:tx>
            <c:strRef>
              <c:f>'State,UT'!$E$1:$F$1</c:f>
              <c:strCache>
                <c:ptCount val="2"/>
                <c:pt idx="0">
                  <c:v>Growth Rate</c:v>
                </c:pt>
                <c:pt idx="1">
                  <c:v>Total</c:v>
                </c:pt>
              </c:strCache>
            </c:strRef>
          </c:tx>
          <c:val>
            <c:numRef>
              <c:f>('State,UT'!$E$184,'State,UT'!$F$184)</c:f>
            </c:numRef>
          </c:val>
          <c:extLst>
            <c:ext xmlns:c16="http://schemas.microsoft.com/office/drawing/2014/chart" uri="{C3380CC4-5D6E-409C-BE32-E72D297353CC}">
              <c16:uniqueId val="{0000003E-6085-43A2-BDA0-32121D1BCF07}"/>
            </c:ext>
          </c:extLst>
        </c:ser>
        <c:ser>
          <c:idx val="63"/>
          <c:order val="63"/>
          <c:tx>
            <c:strRef>
              <c:f>'State,UT'!$E$1:$F$1</c:f>
              <c:strCache>
                <c:ptCount val="2"/>
                <c:pt idx="0">
                  <c:v>Growth Rate</c:v>
                </c:pt>
                <c:pt idx="1">
                  <c:v>Total</c:v>
                </c:pt>
              </c:strCache>
            </c:strRef>
          </c:tx>
          <c:val>
            <c:numRef>
              <c:f>('State,UT'!$E$185,'State,UT'!$F$185)</c:f>
            </c:numRef>
          </c:val>
          <c:extLst>
            <c:ext xmlns:c16="http://schemas.microsoft.com/office/drawing/2014/chart" uri="{C3380CC4-5D6E-409C-BE32-E72D297353CC}">
              <c16:uniqueId val="{0000003F-6085-43A2-BDA0-32121D1BCF07}"/>
            </c:ext>
          </c:extLst>
        </c:ser>
        <c:ser>
          <c:idx val="64"/>
          <c:order val="64"/>
          <c:tx>
            <c:strRef>
              <c:f>'State,UT'!$E$1:$F$1</c:f>
              <c:strCache>
                <c:ptCount val="2"/>
                <c:pt idx="0">
                  <c:v>Growth Rate</c:v>
                </c:pt>
                <c:pt idx="1">
                  <c:v>Total</c:v>
                </c:pt>
              </c:strCache>
            </c:strRef>
          </c:tx>
          <c:val>
            <c:numRef>
              <c:f>('State,UT'!$E$186,'State,UT'!$F$186)</c:f>
            </c:numRef>
          </c:val>
          <c:extLst>
            <c:ext xmlns:c16="http://schemas.microsoft.com/office/drawing/2014/chart" uri="{C3380CC4-5D6E-409C-BE32-E72D297353CC}">
              <c16:uniqueId val="{00000040-6085-43A2-BDA0-32121D1BCF07}"/>
            </c:ext>
          </c:extLst>
        </c:ser>
        <c:ser>
          <c:idx val="65"/>
          <c:order val="65"/>
          <c:tx>
            <c:strRef>
              <c:f>'State,UT'!$E$1:$F$1</c:f>
              <c:strCache>
                <c:ptCount val="2"/>
                <c:pt idx="0">
                  <c:v>Growth Rate</c:v>
                </c:pt>
                <c:pt idx="1">
                  <c:v>Total</c:v>
                </c:pt>
              </c:strCache>
            </c:strRef>
          </c:tx>
          <c:val>
            <c:numRef>
              <c:f>('State,UT'!$E$7,'State,UT'!$F$7)</c:f>
            </c:numRef>
          </c:val>
          <c:extLst>
            <c:ext xmlns:c16="http://schemas.microsoft.com/office/drawing/2014/chart" uri="{C3380CC4-5D6E-409C-BE32-E72D297353CC}">
              <c16:uniqueId val="{00000041-6085-43A2-BDA0-32121D1BCF07}"/>
            </c:ext>
          </c:extLst>
        </c:ser>
        <c:ser>
          <c:idx val="66"/>
          <c:order val="66"/>
          <c:tx>
            <c:strRef>
              <c:f>'State,UT'!$E$1:$F$1</c:f>
              <c:strCache>
                <c:ptCount val="2"/>
                <c:pt idx="0">
                  <c:v>Growth Rate</c:v>
                </c:pt>
                <c:pt idx="1">
                  <c:v>Total</c:v>
                </c:pt>
              </c:strCache>
            </c:strRef>
          </c:tx>
          <c:val>
            <c:numRef>
              <c:f>('State,UT'!$E$8,'State,UT'!$F$8)</c:f>
            </c:numRef>
          </c:val>
          <c:extLst>
            <c:ext xmlns:c16="http://schemas.microsoft.com/office/drawing/2014/chart" uri="{C3380CC4-5D6E-409C-BE32-E72D297353CC}">
              <c16:uniqueId val="{00000042-6085-43A2-BDA0-32121D1BCF07}"/>
            </c:ext>
          </c:extLst>
        </c:ser>
        <c:ser>
          <c:idx val="67"/>
          <c:order val="67"/>
          <c:tx>
            <c:strRef>
              <c:f>'State,UT'!$E$1:$F$1</c:f>
              <c:strCache>
                <c:ptCount val="2"/>
                <c:pt idx="0">
                  <c:v>Growth Rate</c:v>
                </c:pt>
                <c:pt idx="1">
                  <c:v>Total</c:v>
                </c:pt>
              </c:strCache>
            </c:strRef>
          </c:tx>
          <c:val>
            <c:numRef>
              <c:f>('State,UT'!$E$9,'State,UT'!$F$9)</c:f>
            </c:numRef>
          </c:val>
          <c:extLst>
            <c:ext xmlns:c16="http://schemas.microsoft.com/office/drawing/2014/chart" uri="{C3380CC4-5D6E-409C-BE32-E72D297353CC}">
              <c16:uniqueId val="{00000043-6085-43A2-BDA0-32121D1BCF07}"/>
            </c:ext>
          </c:extLst>
        </c:ser>
        <c:ser>
          <c:idx val="68"/>
          <c:order val="68"/>
          <c:tx>
            <c:strRef>
              <c:f>'State,UT'!$E$1:$F$1</c:f>
              <c:strCache>
                <c:ptCount val="2"/>
                <c:pt idx="0">
                  <c:v>Growth Rate</c:v>
                </c:pt>
                <c:pt idx="1">
                  <c:v>Total</c:v>
                </c:pt>
              </c:strCache>
            </c:strRef>
          </c:tx>
          <c:val>
            <c:numRef>
              <c:f>('State,UT'!$E$10,'State,UT'!$F$10)</c:f>
            </c:numRef>
          </c:val>
          <c:extLst>
            <c:ext xmlns:c16="http://schemas.microsoft.com/office/drawing/2014/chart" uri="{C3380CC4-5D6E-409C-BE32-E72D297353CC}">
              <c16:uniqueId val="{00000044-6085-43A2-BDA0-32121D1BCF07}"/>
            </c:ext>
          </c:extLst>
        </c:ser>
        <c:ser>
          <c:idx val="69"/>
          <c:order val="69"/>
          <c:tx>
            <c:strRef>
              <c:f>'State,UT'!$E$1:$F$1</c:f>
              <c:strCache>
                <c:ptCount val="2"/>
                <c:pt idx="0">
                  <c:v>Growth Rate</c:v>
                </c:pt>
                <c:pt idx="1">
                  <c:v>Total</c:v>
                </c:pt>
              </c:strCache>
            </c:strRef>
          </c:tx>
          <c:val>
            <c:numRef>
              <c:f>('State,UT'!$E$11,'State,UT'!$F$11)</c:f>
            </c:numRef>
          </c:val>
          <c:extLst>
            <c:ext xmlns:c16="http://schemas.microsoft.com/office/drawing/2014/chart" uri="{C3380CC4-5D6E-409C-BE32-E72D297353CC}">
              <c16:uniqueId val="{00000045-6085-43A2-BDA0-32121D1BCF07}"/>
            </c:ext>
          </c:extLst>
        </c:ser>
        <c:ser>
          <c:idx val="70"/>
          <c:order val="70"/>
          <c:tx>
            <c:strRef>
              <c:f>'State,UT'!$E$1:$F$1</c:f>
              <c:strCache>
                <c:ptCount val="2"/>
                <c:pt idx="0">
                  <c:v>Growth Rate</c:v>
                </c:pt>
                <c:pt idx="1">
                  <c:v>Total</c:v>
                </c:pt>
              </c:strCache>
            </c:strRef>
          </c:tx>
          <c:val>
            <c:numRef>
              <c:f>('State,UT'!$E$22,'State,UT'!$F$22)</c:f>
            </c:numRef>
          </c:val>
          <c:extLst>
            <c:ext xmlns:c16="http://schemas.microsoft.com/office/drawing/2014/chart" uri="{C3380CC4-5D6E-409C-BE32-E72D297353CC}">
              <c16:uniqueId val="{00000046-6085-43A2-BDA0-32121D1BCF07}"/>
            </c:ext>
          </c:extLst>
        </c:ser>
        <c:ser>
          <c:idx val="71"/>
          <c:order val="71"/>
          <c:tx>
            <c:strRef>
              <c:f>'State,UT'!$E$1:$F$1</c:f>
              <c:strCache>
                <c:ptCount val="2"/>
                <c:pt idx="0">
                  <c:v>Growth Rate</c:v>
                </c:pt>
                <c:pt idx="1">
                  <c:v>Total</c:v>
                </c:pt>
              </c:strCache>
            </c:strRef>
          </c:tx>
          <c:val>
            <c:numRef>
              <c:f>('State,UT'!$E$23,'State,UT'!$F$23)</c:f>
            </c:numRef>
          </c:val>
          <c:extLst>
            <c:ext xmlns:c16="http://schemas.microsoft.com/office/drawing/2014/chart" uri="{C3380CC4-5D6E-409C-BE32-E72D297353CC}">
              <c16:uniqueId val="{00000047-6085-43A2-BDA0-32121D1BCF07}"/>
            </c:ext>
          </c:extLst>
        </c:ser>
        <c:ser>
          <c:idx val="72"/>
          <c:order val="72"/>
          <c:tx>
            <c:strRef>
              <c:f>'State,UT'!$E$1:$F$1</c:f>
              <c:strCache>
                <c:ptCount val="2"/>
                <c:pt idx="0">
                  <c:v>Growth Rate</c:v>
                </c:pt>
                <c:pt idx="1">
                  <c:v>Total</c:v>
                </c:pt>
              </c:strCache>
            </c:strRef>
          </c:tx>
          <c:val>
            <c:numRef>
              <c:f>('State,UT'!$E$24,'State,UT'!$F$24)</c:f>
            </c:numRef>
          </c:val>
          <c:extLst>
            <c:ext xmlns:c16="http://schemas.microsoft.com/office/drawing/2014/chart" uri="{C3380CC4-5D6E-409C-BE32-E72D297353CC}">
              <c16:uniqueId val="{00000048-6085-43A2-BDA0-32121D1BCF07}"/>
            </c:ext>
          </c:extLst>
        </c:ser>
        <c:ser>
          <c:idx val="73"/>
          <c:order val="73"/>
          <c:tx>
            <c:strRef>
              <c:f>'State,UT'!$E$1:$F$1</c:f>
              <c:strCache>
                <c:ptCount val="2"/>
                <c:pt idx="0">
                  <c:v>Growth Rate</c:v>
                </c:pt>
                <c:pt idx="1">
                  <c:v>Total</c:v>
                </c:pt>
              </c:strCache>
            </c:strRef>
          </c:tx>
          <c:val>
            <c:numRef>
              <c:f>('State,UT'!$E$25,'State,UT'!$F$25)</c:f>
            </c:numRef>
          </c:val>
          <c:extLst>
            <c:ext xmlns:c16="http://schemas.microsoft.com/office/drawing/2014/chart" uri="{C3380CC4-5D6E-409C-BE32-E72D297353CC}">
              <c16:uniqueId val="{00000049-6085-43A2-BDA0-32121D1BCF07}"/>
            </c:ext>
          </c:extLst>
        </c:ser>
        <c:ser>
          <c:idx val="74"/>
          <c:order val="74"/>
          <c:tx>
            <c:strRef>
              <c:f>'State,UT'!$E$1:$F$1</c:f>
              <c:strCache>
                <c:ptCount val="2"/>
                <c:pt idx="0">
                  <c:v>Growth Rate</c:v>
                </c:pt>
                <c:pt idx="1">
                  <c:v>Total</c:v>
                </c:pt>
              </c:strCache>
            </c:strRef>
          </c:tx>
          <c:val>
            <c:numRef>
              <c:f>('State,UT'!$E$26,'State,UT'!$F$26)</c:f>
            </c:numRef>
          </c:val>
          <c:extLst>
            <c:ext xmlns:c16="http://schemas.microsoft.com/office/drawing/2014/chart" uri="{C3380CC4-5D6E-409C-BE32-E72D297353CC}">
              <c16:uniqueId val="{0000004A-6085-43A2-BDA0-32121D1BCF07}"/>
            </c:ext>
          </c:extLst>
        </c:ser>
        <c:ser>
          <c:idx val="75"/>
          <c:order val="75"/>
          <c:tx>
            <c:strRef>
              <c:f>'State,UT'!$E$1:$F$1</c:f>
              <c:strCache>
                <c:ptCount val="2"/>
                <c:pt idx="0">
                  <c:v>Growth Rate</c:v>
                </c:pt>
                <c:pt idx="1">
                  <c:v>Total</c:v>
                </c:pt>
              </c:strCache>
            </c:strRef>
          </c:tx>
          <c:val>
            <c:numRef>
              <c:f>('State,UT'!$E$37,'State,UT'!$F$37)</c:f>
            </c:numRef>
          </c:val>
          <c:extLst>
            <c:ext xmlns:c16="http://schemas.microsoft.com/office/drawing/2014/chart" uri="{C3380CC4-5D6E-409C-BE32-E72D297353CC}">
              <c16:uniqueId val="{0000004B-6085-43A2-BDA0-32121D1BCF07}"/>
            </c:ext>
          </c:extLst>
        </c:ser>
        <c:ser>
          <c:idx val="76"/>
          <c:order val="76"/>
          <c:tx>
            <c:strRef>
              <c:f>'State,UT'!$E$1:$F$1</c:f>
              <c:strCache>
                <c:ptCount val="2"/>
                <c:pt idx="0">
                  <c:v>Growth Rate</c:v>
                </c:pt>
                <c:pt idx="1">
                  <c:v>Total</c:v>
                </c:pt>
              </c:strCache>
            </c:strRef>
          </c:tx>
          <c:val>
            <c:numRef>
              <c:f>('State,UT'!$E$38,'State,UT'!$F$38)</c:f>
            </c:numRef>
          </c:val>
          <c:extLst>
            <c:ext xmlns:c16="http://schemas.microsoft.com/office/drawing/2014/chart" uri="{C3380CC4-5D6E-409C-BE32-E72D297353CC}">
              <c16:uniqueId val="{0000004C-6085-43A2-BDA0-32121D1BCF07}"/>
            </c:ext>
          </c:extLst>
        </c:ser>
        <c:ser>
          <c:idx val="77"/>
          <c:order val="77"/>
          <c:tx>
            <c:strRef>
              <c:f>'State,UT'!$E$1:$F$1</c:f>
              <c:strCache>
                <c:ptCount val="2"/>
                <c:pt idx="0">
                  <c:v>Growth Rate</c:v>
                </c:pt>
                <c:pt idx="1">
                  <c:v>Total</c:v>
                </c:pt>
              </c:strCache>
            </c:strRef>
          </c:tx>
          <c:val>
            <c:numRef>
              <c:f>('State,UT'!$E$39,'State,UT'!$F$39)</c:f>
            </c:numRef>
          </c:val>
          <c:extLst>
            <c:ext xmlns:c16="http://schemas.microsoft.com/office/drawing/2014/chart" uri="{C3380CC4-5D6E-409C-BE32-E72D297353CC}">
              <c16:uniqueId val="{0000004D-6085-43A2-BDA0-32121D1BCF07}"/>
            </c:ext>
          </c:extLst>
        </c:ser>
        <c:ser>
          <c:idx val="78"/>
          <c:order val="78"/>
          <c:tx>
            <c:strRef>
              <c:f>'State,UT'!$E$1:$F$1</c:f>
              <c:strCache>
                <c:ptCount val="2"/>
                <c:pt idx="0">
                  <c:v>Growth Rate</c:v>
                </c:pt>
                <c:pt idx="1">
                  <c:v>Total</c:v>
                </c:pt>
              </c:strCache>
            </c:strRef>
          </c:tx>
          <c:val>
            <c:numRef>
              <c:f>('State,UT'!$E$40,'State,UT'!$F$40)</c:f>
            </c:numRef>
          </c:val>
          <c:extLst>
            <c:ext xmlns:c16="http://schemas.microsoft.com/office/drawing/2014/chart" uri="{C3380CC4-5D6E-409C-BE32-E72D297353CC}">
              <c16:uniqueId val="{0000004E-6085-43A2-BDA0-32121D1BCF07}"/>
            </c:ext>
          </c:extLst>
        </c:ser>
        <c:ser>
          <c:idx val="79"/>
          <c:order val="79"/>
          <c:tx>
            <c:strRef>
              <c:f>'State,UT'!$E$1:$F$1</c:f>
              <c:strCache>
                <c:ptCount val="2"/>
                <c:pt idx="0">
                  <c:v>Growth Rate</c:v>
                </c:pt>
                <c:pt idx="1">
                  <c:v>Total</c:v>
                </c:pt>
              </c:strCache>
            </c:strRef>
          </c:tx>
          <c:val>
            <c:numRef>
              <c:f>('State,UT'!$E$41,'State,UT'!$F$41)</c:f>
            </c:numRef>
          </c:val>
          <c:extLst>
            <c:ext xmlns:c16="http://schemas.microsoft.com/office/drawing/2014/chart" uri="{C3380CC4-5D6E-409C-BE32-E72D297353CC}">
              <c16:uniqueId val="{0000004F-6085-43A2-BDA0-32121D1BCF07}"/>
            </c:ext>
          </c:extLst>
        </c:ser>
        <c:ser>
          <c:idx val="80"/>
          <c:order val="80"/>
          <c:tx>
            <c:strRef>
              <c:f>'State,UT'!$E$1:$F$1</c:f>
              <c:strCache>
                <c:ptCount val="2"/>
                <c:pt idx="0">
                  <c:v>Growth Rate</c:v>
                </c:pt>
                <c:pt idx="1">
                  <c:v>Total</c:v>
                </c:pt>
              </c:strCache>
            </c:strRef>
          </c:tx>
          <c:val>
            <c:numRef>
              <c:f>('State,UT'!$E$52,'State,UT'!$F$52)</c:f>
            </c:numRef>
          </c:val>
          <c:extLst>
            <c:ext xmlns:c16="http://schemas.microsoft.com/office/drawing/2014/chart" uri="{C3380CC4-5D6E-409C-BE32-E72D297353CC}">
              <c16:uniqueId val="{00000050-6085-43A2-BDA0-32121D1BCF07}"/>
            </c:ext>
          </c:extLst>
        </c:ser>
        <c:ser>
          <c:idx val="81"/>
          <c:order val="81"/>
          <c:tx>
            <c:strRef>
              <c:f>'State,UT'!$E$1:$F$1</c:f>
              <c:strCache>
                <c:ptCount val="2"/>
                <c:pt idx="0">
                  <c:v>Growth Rate</c:v>
                </c:pt>
                <c:pt idx="1">
                  <c:v>Total</c:v>
                </c:pt>
              </c:strCache>
            </c:strRef>
          </c:tx>
          <c:val>
            <c:numRef>
              <c:f>('State,UT'!$E$53,'State,UT'!$F$53)</c:f>
            </c:numRef>
          </c:val>
          <c:extLst>
            <c:ext xmlns:c16="http://schemas.microsoft.com/office/drawing/2014/chart" uri="{C3380CC4-5D6E-409C-BE32-E72D297353CC}">
              <c16:uniqueId val="{00000051-6085-43A2-BDA0-32121D1BCF07}"/>
            </c:ext>
          </c:extLst>
        </c:ser>
        <c:ser>
          <c:idx val="82"/>
          <c:order val="82"/>
          <c:tx>
            <c:strRef>
              <c:f>'State,UT'!$E$1:$F$1</c:f>
              <c:strCache>
                <c:ptCount val="2"/>
                <c:pt idx="0">
                  <c:v>Growth Rate</c:v>
                </c:pt>
                <c:pt idx="1">
                  <c:v>Total</c:v>
                </c:pt>
              </c:strCache>
            </c:strRef>
          </c:tx>
          <c:val>
            <c:numRef>
              <c:f>('State,UT'!$E$54,'State,UT'!$F$54)</c:f>
            </c:numRef>
          </c:val>
          <c:extLst>
            <c:ext xmlns:c16="http://schemas.microsoft.com/office/drawing/2014/chart" uri="{C3380CC4-5D6E-409C-BE32-E72D297353CC}">
              <c16:uniqueId val="{00000052-6085-43A2-BDA0-32121D1BCF07}"/>
            </c:ext>
          </c:extLst>
        </c:ser>
        <c:ser>
          <c:idx val="83"/>
          <c:order val="83"/>
          <c:tx>
            <c:strRef>
              <c:f>'State,UT'!$E$1:$F$1</c:f>
              <c:strCache>
                <c:ptCount val="2"/>
                <c:pt idx="0">
                  <c:v>Growth Rate</c:v>
                </c:pt>
                <c:pt idx="1">
                  <c:v>Total</c:v>
                </c:pt>
              </c:strCache>
            </c:strRef>
          </c:tx>
          <c:val>
            <c:numRef>
              <c:f>('State,UT'!$E$55,'State,UT'!$F$55)</c:f>
            </c:numRef>
          </c:val>
          <c:extLst>
            <c:ext xmlns:c16="http://schemas.microsoft.com/office/drawing/2014/chart" uri="{C3380CC4-5D6E-409C-BE32-E72D297353CC}">
              <c16:uniqueId val="{00000053-6085-43A2-BDA0-32121D1BCF07}"/>
            </c:ext>
          </c:extLst>
        </c:ser>
        <c:ser>
          <c:idx val="84"/>
          <c:order val="84"/>
          <c:tx>
            <c:strRef>
              <c:f>'State,UT'!$E$1:$F$1</c:f>
              <c:strCache>
                <c:ptCount val="2"/>
                <c:pt idx="0">
                  <c:v>Growth Rate</c:v>
                </c:pt>
                <c:pt idx="1">
                  <c:v>Total</c:v>
                </c:pt>
              </c:strCache>
            </c:strRef>
          </c:tx>
          <c:val>
            <c:numRef>
              <c:f>('State,UT'!$E$56,'State,UT'!$F$56)</c:f>
            </c:numRef>
          </c:val>
          <c:extLst>
            <c:ext xmlns:c16="http://schemas.microsoft.com/office/drawing/2014/chart" uri="{C3380CC4-5D6E-409C-BE32-E72D297353CC}">
              <c16:uniqueId val="{00000054-6085-43A2-BDA0-32121D1BCF07}"/>
            </c:ext>
          </c:extLst>
        </c:ser>
        <c:ser>
          <c:idx val="85"/>
          <c:order val="85"/>
          <c:tx>
            <c:strRef>
              <c:f>'State,UT'!$E$1:$F$1</c:f>
              <c:strCache>
                <c:ptCount val="2"/>
                <c:pt idx="0">
                  <c:v>Growth Rate</c:v>
                </c:pt>
                <c:pt idx="1">
                  <c:v>Total</c:v>
                </c:pt>
              </c:strCache>
            </c:strRef>
          </c:tx>
          <c:val>
            <c:numRef>
              <c:f>('State,UT'!$E$67,'State,UT'!$F$67)</c:f>
            </c:numRef>
          </c:val>
          <c:extLst>
            <c:ext xmlns:c16="http://schemas.microsoft.com/office/drawing/2014/chart" uri="{C3380CC4-5D6E-409C-BE32-E72D297353CC}">
              <c16:uniqueId val="{00000055-6085-43A2-BDA0-32121D1BCF07}"/>
            </c:ext>
          </c:extLst>
        </c:ser>
        <c:ser>
          <c:idx val="86"/>
          <c:order val="86"/>
          <c:tx>
            <c:strRef>
              <c:f>'State,UT'!$E$1:$F$1</c:f>
              <c:strCache>
                <c:ptCount val="2"/>
                <c:pt idx="0">
                  <c:v>Growth Rate</c:v>
                </c:pt>
                <c:pt idx="1">
                  <c:v>Total</c:v>
                </c:pt>
              </c:strCache>
            </c:strRef>
          </c:tx>
          <c:val>
            <c:numRef>
              <c:f>('State,UT'!$E$68,'State,UT'!$F$68)</c:f>
            </c:numRef>
          </c:val>
          <c:extLst>
            <c:ext xmlns:c16="http://schemas.microsoft.com/office/drawing/2014/chart" uri="{C3380CC4-5D6E-409C-BE32-E72D297353CC}">
              <c16:uniqueId val="{00000056-6085-43A2-BDA0-32121D1BCF07}"/>
            </c:ext>
          </c:extLst>
        </c:ser>
        <c:ser>
          <c:idx val="87"/>
          <c:order val="87"/>
          <c:tx>
            <c:strRef>
              <c:f>'State,UT'!$E$1:$F$1</c:f>
              <c:strCache>
                <c:ptCount val="2"/>
                <c:pt idx="0">
                  <c:v>Growth Rate</c:v>
                </c:pt>
                <c:pt idx="1">
                  <c:v>Total</c:v>
                </c:pt>
              </c:strCache>
            </c:strRef>
          </c:tx>
          <c:val>
            <c:numRef>
              <c:f>('State,UT'!$E$69,'State,UT'!$F$69)</c:f>
            </c:numRef>
          </c:val>
          <c:extLst>
            <c:ext xmlns:c16="http://schemas.microsoft.com/office/drawing/2014/chart" uri="{C3380CC4-5D6E-409C-BE32-E72D297353CC}">
              <c16:uniqueId val="{00000057-6085-43A2-BDA0-32121D1BCF07}"/>
            </c:ext>
          </c:extLst>
        </c:ser>
        <c:ser>
          <c:idx val="88"/>
          <c:order val="88"/>
          <c:tx>
            <c:strRef>
              <c:f>'State,UT'!$E$1:$F$1</c:f>
              <c:strCache>
                <c:ptCount val="2"/>
                <c:pt idx="0">
                  <c:v>Growth Rate</c:v>
                </c:pt>
                <c:pt idx="1">
                  <c:v>Total</c:v>
                </c:pt>
              </c:strCache>
            </c:strRef>
          </c:tx>
          <c:val>
            <c:numRef>
              <c:f>('State,UT'!$E$70,'State,UT'!$F$70)</c:f>
            </c:numRef>
          </c:val>
          <c:extLst>
            <c:ext xmlns:c16="http://schemas.microsoft.com/office/drawing/2014/chart" uri="{C3380CC4-5D6E-409C-BE32-E72D297353CC}">
              <c16:uniqueId val="{00000058-6085-43A2-BDA0-32121D1BCF07}"/>
            </c:ext>
          </c:extLst>
        </c:ser>
        <c:ser>
          <c:idx val="89"/>
          <c:order val="89"/>
          <c:tx>
            <c:strRef>
              <c:f>'State,UT'!$E$1:$F$1</c:f>
              <c:strCache>
                <c:ptCount val="2"/>
                <c:pt idx="0">
                  <c:v>Growth Rate</c:v>
                </c:pt>
                <c:pt idx="1">
                  <c:v>Total</c:v>
                </c:pt>
              </c:strCache>
            </c:strRef>
          </c:tx>
          <c:val>
            <c:numRef>
              <c:f>('State,UT'!$E$71,'State,UT'!$F$71)</c:f>
            </c:numRef>
          </c:val>
          <c:extLst>
            <c:ext xmlns:c16="http://schemas.microsoft.com/office/drawing/2014/chart" uri="{C3380CC4-5D6E-409C-BE32-E72D297353CC}">
              <c16:uniqueId val="{00000059-6085-43A2-BDA0-32121D1BCF07}"/>
            </c:ext>
          </c:extLst>
        </c:ser>
        <c:ser>
          <c:idx val="90"/>
          <c:order val="90"/>
          <c:tx>
            <c:strRef>
              <c:f>'State,UT'!$E$1:$F$1</c:f>
              <c:strCache>
                <c:ptCount val="2"/>
                <c:pt idx="0">
                  <c:v>Growth Rate</c:v>
                </c:pt>
                <c:pt idx="1">
                  <c:v>Total</c:v>
                </c:pt>
              </c:strCache>
            </c:strRef>
          </c:tx>
          <c:val>
            <c:numRef>
              <c:f>('State,UT'!$E$82,'State,UT'!$F$82)</c:f>
            </c:numRef>
          </c:val>
          <c:extLst>
            <c:ext xmlns:c16="http://schemas.microsoft.com/office/drawing/2014/chart" uri="{C3380CC4-5D6E-409C-BE32-E72D297353CC}">
              <c16:uniqueId val="{0000005A-6085-43A2-BDA0-32121D1BCF07}"/>
            </c:ext>
          </c:extLst>
        </c:ser>
        <c:ser>
          <c:idx val="91"/>
          <c:order val="91"/>
          <c:tx>
            <c:strRef>
              <c:f>'State,UT'!$E$1:$F$1</c:f>
              <c:strCache>
                <c:ptCount val="2"/>
                <c:pt idx="0">
                  <c:v>Growth Rate</c:v>
                </c:pt>
                <c:pt idx="1">
                  <c:v>Total</c:v>
                </c:pt>
              </c:strCache>
            </c:strRef>
          </c:tx>
          <c:val>
            <c:numRef>
              <c:f>('State,UT'!$E$83,'State,UT'!$F$83)</c:f>
            </c:numRef>
          </c:val>
          <c:extLst>
            <c:ext xmlns:c16="http://schemas.microsoft.com/office/drawing/2014/chart" uri="{C3380CC4-5D6E-409C-BE32-E72D297353CC}">
              <c16:uniqueId val="{0000005B-6085-43A2-BDA0-32121D1BCF07}"/>
            </c:ext>
          </c:extLst>
        </c:ser>
        <c:ser>
          <c:idx val="92"/>
          <c:order val="92"/>
          <c:tx>
            <c:strRef>
              <c:f>'State,UT'!$E$1:$F$1</c:f>
              <c:strCache>
                <c:ptCount val="2"/>
                <c:pt idx="0">
                  <c:v>Growth Rate</c:v>
                </c:pt>
                <c:pt idx="1">
                  <c:v>Total</c:v>
                </c:pt>
              </c:strCache>
            </c:strRef>
          </c:tx>
          <c:val>
            <c:numRef>
              <c:f>('State,UT'!$E$84,'State,UT'!$F$84)</c:f>
            </c:numRef>
          </c:val>
          <c:extLst>
            <c:ext xmlns:c16="http://schemas.microsoft.com/office/drawing/2014/chart" uri="{C3380CC4-5D6E-409C-BE32-E72D297353CC}">
              <c16:uniqueId val="{0000005C-6085-43A2-BDA0-32121D1BCF07}"/>
            </c:ext>
          </c:extLst>
        </c:ser>
        <c:ser>
          <c:idx val="93"/>
          <c:order val="93"/>
          <c:tx>
            <c:strRef>
              <c:f>'State,UT'!$E$1:$F$1</c:f>
              <c:strCache>
                <c:ptCount val="2"/>
                <c:pt idx="0">
                  <c:v>Growth Rate</c:v>
                </c:pt>
                <c:pt idx="1">
                  <c:v>Total</c:v>
                </c:pt>
              </c:strCache>
            </c:strRef>
          </c:tx>
          <c:val>
            <c:numRef>
              <c:f>('State,UT'!$E$85,'State,UT'!$F$85)</c:f>
            </c:numRef>
          </c:val>
          <c:extLst>
            <c:ext xmlns:c16="http://schemas.microsoft.com/office/drawing/2014/chart" uri="{C3380CC4-5D6E-409C-BE32-E72D297353CC}">
              <c16:uniqueId val="{0000005D-6085-43A2-BDA0-32121D1BCF07}"/>
            </c:ext>
          </c:extLst>
        </c:ser>
        <c:ser>
          <c:idx val="94"/>
          <c:order val="94"/>
          <c:tx>
            <c:strRef>
              <c:f>'State,UT'!$E$1:$F$1</c:f>
              <c:strCache>
                <c:ptCount val="2"/>
                <c:pt idx="0">
                  <c:v>Growth Rate</c:v>
                </c:pt>
                <c:pt idx="1">
                  <c:v>Total</c:v>
                </c:pt>
              </c:strCache>
            </c:strRef>
          </c:tx>
          <c:val>
            <c:numRef>
              <c:f>('State,UT'!$E$86,'State,UT'!$F$86)</c:f>
            </c:numRef>
          </c:val>
          <c:extLst>
            <c:ext xmlns:c16="http://schemas.microsoft.com/office/drawing/2014/chart" uri="{C3380CC4-5D6E-409C-BE32-E72D297353CC}">
              <c16:uniqueId val="{0000005E-6085-43A2-BDA0-32121D1BCF07}"/>
            </c:ext>
          </c:extLst>
        </c:ser>
        <c:ser>
          <c:idx val="95"/>
          <c:order val="95"/>
          <c:tx>
            <c:strRef>
              <c:f>'State,UT'!$E$1:$F$1</c:f>
              <c:strCache>
                <c:ptCount val="2"/>
                <c:pt idx="0">
                  <c:v>Growth Rate</c:v>
                </c:pt>
                <c:pt idx="1">
                  <c:v>Total</c:v>
                </c:pt>
              </c:strCache>
            </c:strRef>
          </c:tx>
          <c:val>
            <c:numRef>
              <c:f>('State,UT'!$E$101,'State,UT'!$F$101)</c:f>
            </c:numRef>
          </c:val>
          <c:extLst>
            <c:ext xmlns:c16="http://schemas.microsoft.com/office/drawing/2014/chart" uri="{C3380CC4-5D6E-409C-BE32-E72D297353CC}">
              <c16:uniqueId val="{0000005F-6085-43A2-BDA0-32121D1BCF07}"/>
            </c:ext>
          </c:extLst>
        </c:ser>
        <c:ser>
          <c:idx val="96"/>
          <c:order val="96"/>
          <c:tx>
            <c:strRef>
              <c:f>'State,UT'!$E$1:$F$1</c:f>
              <c:strCache>
                <c:ptCount val="2"/>
                <c:pt idx="0">
                  <c:v>Growth Rate</c:v>
                </c:pt>
                <c:pt idx="1">
                  <c:v>Total</c:v>
                </c:pt>
              </c:strCache>
            </c:strRef>
          </c:tx>
          <c:val>
            <c:numRef>
              <c:f>('State,UT'!$E$100,'State,UT'!$F$100)</c:f>
            </c:numRef>
          </c:val>
          <c:extLst>
            <c:ext xmlns:c16="http://schemas.microsoft.com/office/drawing/2014/chart" uri="{C3380CC4-5D6E-409C-BE32-E72D297353CC}">
              <c16:uniqueId val="{00000060-6085-43A2-BDA0-32121D1BCF07}"/>
            </c:ext>
          </c:extLst>
        </c:ser>
        <c:ser>
          <c:idx val="97"/>
          <c:order val="97"/>
          <c:tx>
            <c:strRef>
              <c:f>'State,UT'!$E$1:$F$1</c:f>
              <c:strCache>
                <c:ptCount val="2"/>
                <c:pt idx="0">
                  <c:v>Growth Rate</c:v>
                </c:pt>
                <c:pt idx="1">
                  <c:v>Total</c:v>
                </c:pt>
              </c:strCache>
            </c:strRef>
          </c:tx>
          <c:val>
            <c:numRef>
              <c:f>('State,UT'!$E$99,'State,UT'!$F$99)</c:f>
            </c:numRef>
          </c:val>
          <c:extLst>
            <c:ext xmlns:c16="http://schemas.microsoft.com/office/drawing/2014/chart" uri="{C3380CC4-5D6E-409C-BE32-E72D297353CC}">
              <c16:uniqueId val="{00000061-6085-43A2-BDA0-32121D1BCF07}"/>
            </c:ext>
          </c:extLst>
        </c:ser>
        <c:ser>
          <c:idx val="98"/>
          <c:order val="98"/>
          <c:tx>
            <c:strRef>
              <c:f>'State,UT'!$E$1:$F$1</c:f>
              <c:strCache>
                <c:ptCount val="2"/>
                <c:pt idx="0">
                  <c:v>Growth Rate</c:v>
                </c:pt>
                <c:pt idx="1">
                  <c:v>Total</c:v>
                </c:pt>
              </c:strCache>
            </c:strRef>
          </c:tx>
          <c:val>
            <c:numRef>
              <c:f>('State,UT'!$E$98,'State,UT'!$F$98)</c:f>
            </c:numRef>
          </c:val>
          <c:extLst>
            <c:ext xmlns:c16="http://schemas.microsoft.com/office/drawing/2014/chart" uri="{C3380CC4-5D6E-409C-BE32-E72D297353CC}">
              <c16:uniqueId val="{00000062-6085-43A2-BDA0-32121D1BCF07}"/>
            </c:ext>
          </c:extLst>
        </c:ser>
        <c:ser>
          <c:idx val="99"/>
          <c:order val="99"/>
          <c:tx>
            <c:strRef>
              <c:f>'State,UT'!$E$1:$F$1</c:f>
              <c:strCache>
                <c:ptCount val="2"/>
                <c:pt idx="0">
                  <c:v>Growth Rate</c:v>
                </c:pt>
                <c:pt idx="1">
                  <c:v>Total</c:v>
                </c:pt>
              </c:strCache>
            </c:strRef>
          </c:tx>
          <c:val>
            <c:numRef>
              <c:f>('State,UT'!$E$97,'State,UT'!$F$97)</c:f>
            </c:numRef>
          </c:val>
          <c:extLst>
            <c:ext xmlns:c16="http://schemas.microsoft.com/office/drawing/2014/chart" uri="{C3380CC4-5D6E-409C-BE32-E72D297353CC}">
              <c16:uniqueId val="{00000063-6085-43A2-BDA0-32121D1BCF07}"/>
            </c:ext>
          </c:extLst>
        </c:ser>
        <c:ser>
          <c:idx val="100"/>
          <c:order val="100"/>
          <c:tx>
            <c:strRef>
              <c:f>'State,UT'!$E$1:$F$1</c:f>
              <c:strCache>
                <c:ptCount val="2"/>
                <c:pt idx="0">
                  <c:v>Growth Rate</c:v>
                </c:pt>
                <c:pt idx="1">
                  <c:v>Total</c:v>
                </c:pt>
              </c:strCache>
            </c:strRef>
          </c:tx>
          <c:val>
            <c:numRef>
              <c:f>('State,UT'!$E$112,'State,UT'!$F$112)</c:f>
            </c:numRef>
          </c:val>
          <c:extLst>
            <c:ext xmlns:c16="http://schemas.microsoft.com/office/drawing/2014/chart" uri="{C3380CC4-5D6E-409C-BE32-E72D297353CC}">
              <c16:uniqueId val="{00000064-6085-43A2-BDA0-32121D1BCF07}"/>
            </c:ext>
          </c:extLst>
        </c:ser>
        <c:ser>
          <c:idx val="101"/>
          <c:order val="101"/>
          <c:tx>
            <c:strRef>
              <c:f>'State,UT'!$E$1:$F$1</c:f>
              <c:strCache>
                <c:ptCount val="2"/>
                <c:pt idx="0">
                  <c:v>Growth Rate</c:v>
                </c:pt>
                <c:pt idx="1">
                  <c:v>Total</c:v>
                </c:pt>
              </c:strCache>
            </c:strRef>
          </c:tx>
          <c:val>
            <c:numRef>
              <c:f>('State,UT'!$E$113,'State,UT'!$F$113)</c:f>
            </c:numRef>
          </c:val>
          <c:extLst>
            <c:ext xmlns:c16="http://schemas.microsoft.com/office/drawing/2014/chart" uri="{C3380CC4-5D6E-409C-BE32-E72D297353CC}">
              <c16:uniqueId val="{00000065-6085-43A2-BDA0-32121D1BCF07}"/>
            </c:ext>
          </c:extLst>
        </c:ser>
        <c:ser>
          <c:idx val="102"/>
          <c:order val="102"/>
          <c:tx>
            <c:strRef>
              <c:f>'State,UT'!$E$1:$F$1</c:f>
              <c:strCache>
                <c:ptCount val="2"/>
                <c:pt idx="0">
                  <c:v>Growth Rate</c:v>
                </c:pt>
                <c:pt idx="1">
                  <c:v>Total</c:v>
                </c:pt>
              </c:strCache>
            </c:strRef>
          </c:tx>
          <c:val>
            <c:numRef>
              <c:f>('State,UT'!$E$114,'State,UT'!$F$114)</c:f>
            </c:numRef>
          </c:val>
          <c:extLst>
            <c:ext xmlns:c16="http://schemas.microsoft.com/office/drawing/2014/chart" uri="{C3380CC4-5D6E-409C-BE32-E72D297353CC}">
              <c16:uniqueId val="{00000066-6085-43A2-BDA0-32121D1BCF07}"/>
            </c:ext>
          </c:extLst>
        </c:ser>
        <c:ser>
          <c:idx val="103"/>
          <c:order val="103"/>
          <c:tx>
            <c:strRef>
              <c:f>'State,UT'!$E$1:$F$1</c:f>
              <c:strCache>
                <c:ptCount val="2"/>
                <c:pt idx="0">
                  <c:v>Growth Rate</c:v>
                </c:pt>
                <c:pt idx="1">
                  <c:v>Total</c:v>
                </c:pt>
              </c:strCache>
            </c:strRef>
          </c:tx>
          <c:val>
            <c:numRef>
              <c:f>('State,UT'!$E$115,'State,UT'!$F$115)</c:f>
            </c:numRef>
          </c:val>
          <c:extLst>
            <c:ext xmlns:c16="http://schemas.microsoft.com/office/drawing/2014/chart" uri="{C3380CC4-5D6E-409C-BE32-E72D297353CC}">
              <c16:uniqueId val="{00000067-6085-43A2-BDA0-32121D1BCF07}"/>
            </c:ext>
          </c:extLst>
        </c:ser>
        <c:ser>
          <c:idx val="104"/>
          <c:order val="104"/>
          <c:tx>
            <c:strRef>
              <c:f>'State,UT'!$E$1:$F$1</c:f>
              <c:strCache>
                <c:ptCount val="2"/>
                <c:pt idx="0">
                  <c:v>Growth Rate</c:v>
                </c:pt>
                <c:pt idx="1">
                  <c:v>Total</c:v>
                </c:pt>
              </c:strCache>
            </c:strRef>
          </c:tx>
          <c:val>
            <c:numRef>
              <c:f>('State,UT'!$E$116,'State,UT'!$F$116)</c:f>
            </c:numRef>
          </c:val>
          <c:extLst>
            <c:ext xmlns:c16="http://schemas.microsoft.com/office/drawing/2014/chart" uri="{C3380CC4-5D6E-409C-BE32-E72D297353CC}">
              <c16:uniqueId val="{00000068-6085-43A2-BDA0-32121D1BCF07}"/>
            </c:ext>
          </c:extLst>
        </c:ser>
        <c:ser>
          <c:idx val="105"/>
          <c:order val="105"/>
          <c:tx>
            <c:strRef>
              <c:f>'State,UT'!$E$1:$F$1</c:f>
              <c:strCache>
                <c:ptCount val="2"/>
                <c:pt idx="0">
                  <c:v>Growth Rate</c:v>
                </c:pt>
                <c:pt idx="1">
                  <c:v>Total</c:v>
                </c:pt>
              </c:strCache>
            </c:strRef>
          </c:tx>
          <c:val>
            <c:numRef>
              <c:f>('State,UT'!$E$127,'State,UT'!$F$127)</c:f>
            </c:numRef>
          </c:val>
          <c:extLst>
            <c:ext xmlns:c16="http://schemas.microsoft.com/office/drawing/2014/chart" uri="{C3380CC4-5D6E-409C-BE32-E72D297353CC}">
              <c16:uniqueId val="{00000069-6085-43A2-BDA0-32121D1BCF07}"/>
            </c:ext>
          </c:extLst>
        </c:ser>
        <c:ser>
          <c:idx val="106"/>
          <c:order val="106"/>
          <c:tx>
            <c:strRef>
              <c:f>'State,UT'!$E$1:$F$1</c:f>
              <c:strCache>
                <c:ptCount val="2"/>
                <c:pt idx="0">
                  <c:v>Growth Rate</c:v>
                </c:pt>
                <c:pt idx="1">
                  <c:v>Total</c:v>
                </c:pt>
              </c:strCache>
            </c:strRef>
          </c:tx>
          <c:val>
            <c:numRef>
              <c:f>('State,UT'!$E$128,'State,UT'!$F$128)</c:f>
            </c:numRef>
          </c:val>
          <c:extLst>
            <c:ext xmlns:c16="http://schemas.microsoft.com/office/drawing/2014/chart" uri="{C3380CC4-5D6E-409C-BE32-E72D297353CC}">
              <c16:uniqueId val="{0000006A-6085-43A2-BDA0-32121D1BCF07}"/>
            </c:ext>
          </c:extLst>
        </c:ser>
        <c:ser>
          <c:idx val="107"/>
          <c:order val="107"/>
          <c:tx>
            <c:strRef>
              <c:f>'State,UT'!$E$1:$F$1</c:f>
              <c:strCache>
                <c:ptCount val="2"/>
                <c:pt idx="0">
                  <c:v>Growth Rate</c:v>
                </c:pt>
                <c:pt idx="1">
                  <c:v>Total</c:v>
                </c:pt>
              </c:strCache>
            </c:strRef>
          </c:tx>
          <c:val>
            <c:numRef>
              <c:f>('State,UT'!$E$129,'State,UT'!$F$129)</c:f>
            </c:numRef>
          </c:val>
          <c:extLst>
            <c:ext xmlns:c16="http://schemas.microsoft.com/office/drawing/2014/chart" uri="{C3380CC4-5D6E-409C-BE32-E72D297353CC}">
              <c16:uniqueId val="{0000006B-6085-43A2-BDA0-32121D1BCF07}"/>
            </c:ext>
          </c:extLst>
        </c:ser>
        <c:ser>
          <c:idx val="108"/>
          <c:order val="108"/>
          <c:tx>
            <c:strRef>
              <c:f>'State,UT'!$E$1:$F$1</c:f>
              <c:strCache>
                <c:ptCount val="2"/>
                <c:pt idx="0">
                  <c:v>Growth Rate</c:v>
                </c:pt>
                <c:pt idx="1">
                  <c:v>Total</c:v>
                </c:pt>
              </c:strCache>
            </c:strRef>
          </c:tx>
          <c:val>
            <c:numRef>
              <c:f>('State,UT'!$E$130,'State,UT'!$F$130)</c:f>
            </c:numRef>
          </c:val>
          <c:extLst>
            <c:ext xmlns:c16="http://schemas.microsoft.com/office/drawing/2014/chart" uri="{C3380CC4-5D6E-409C-BE32-E72D297353CC}">
              <c16:uniqueId val="{0000006C-6085-43A2-BDA0-32121D1BCF07}"/>
            </c:ext>
          </c:extLst>
        </c:ser>
        <c:ser>
          <c:idx val="109"/>
          <c:order val="109"/>
          <c:tx>
            <c:strRef>
              <c:f>'State,UT'!$E$1:$F$1</c:f>
              <c:strCache>
                <c:ptCount val="2"/>
                <c:pt idx="0">
                  <c:v>Growth Rate</c:v>
                </c:pt>
                <c:pt idx="1">
                  <c:v>Total</c:v>
                </c:pt>
              </c:strCache>
            </c:strRef>
          </c:tx>
          <c:val>
            <c:numRef>
              <c:f>('State,UT'!$E$131,'State,UT'!$F$131)</c:f>
            </c:numRef>
          </c:val>
          <c:extLst>
            <c:ext xmlns:c16="http://schemas.microsoft.com/office/drawing/2014/chart" uri="{C3380CC4-5D6E-409C-BE32-E72D297353CC}">
              <c16:uniqueId val="{0000006D-6085-43A2-BDA0-32121D1BCF07}"/>
            </c:ext>
          </c:extLst>
        </c:ser>
        <c:ser>
          <c:idx val="110"/>
          <c:order val="110"/>
          <c:tx>
            <c:strRef>
              <c:f>'State,UT'!$E$1:$F$1</c:f>
              <c:strCache>
                <c:ptCount val="2"/>
                <c:pt idx="0">
                  <c:v>Growth Rate</c:v>
                </c:pt>
                <c:pt idx="1">
                  <c:v>Total</c:v>
                </c:pt>
              </c:strCache>
            </c:strRef>
          </c:tx>
          <c:val>
            <c:numRef>
              <c:f>('State,UT'!$E$142,'State,UT'!$F$142)</c:f>
            </c:numRef>
          </c:val>
          <c:extLst>
            <c:ext xmlns:c16="http://schemas.microsoft.com/office/drawing/2014/chart" uri="{C3380CC4-5D6E-409C-BE32-E72D297353CC}">
              <c16:uniqueId val="{0000006E-6085-43A2-BDA0-32121D1BCF07}"/>
            </c:ext>
          </c:extLst>
        </c:ser>
        <c:ser>
          <c:idx val="111"/>
          <c:order val="111"/>
          <c:tx>
            <c:strRef>
              <c:f>'State,UT'!$E$1:$F$1</c:f>
              <c:strCache>
                <c:ptCount val="2"/>
                <c:pt idx="0">
                  <c:v>Growth Rate</c:v>
                </c:pt>
                <c:pt idx="1">
                  <c:v>Total</c:v>
                </c:pt>
              </c:strCache>
            </c:strRef>
          </c:tx>
          <c:val>
            <c:numRef>
              <c:f>('State,UT'!$E$143,'State,UT'!$F$143)</c:f>
            </c:numRef>
          </c:val>
          <c:extLst>
            <c:ext xmlns:c16="http://schemas.microsoft.com/office/drawing/2014/chart" uri="{C3380CC4-5D6E-409C-BE32-E72D297353CC}">
              <c16:uniqueId val="{0000006F-6085-43A2-BDA0-32121D1BCF07}"/>
            </c:ext>
          </c:extLst>
        </c:ser>
        <c:ser>
          <c:idx val="112"/>
          <c:order val="112"/>
          <c:tx>
            <c:strRef>
              <c:f>'State,UT'!$E$1:$F$1</c:f>
              <c:strCache>
                <c:ptCount val="2"/>
                <c:pt idx="0">
                  <c:v>Growth Rate</c:v>
                </c:pt>
                <c:pt idx="1">
                  <c:v>Total</c:v>
                </c:pt>
              </c:strCache>
            </c:strRef>
          </c:tx>
          <c:val>
            <c:numRef>
              <c:f>('State,UT'!$E$144,'State,UT'!$F$144)</c:f>
            </c:numRef>
          </c:val>
          <c:extLst>
            <c:ext xmlns:c16="http://schemas.microsoft.com/office/drawing/2014/chart" uri="{C3380CC4-5D6E-409C-BE32-E72D297353CC}">
              <c16:uniqueId val="{00000070-6085-43A2-BDA0-32121D1BCF07}"/>
            </c:ext>
          </c:extLst>
        </c:ser>
        <c:ser>
          <c:idx val="113"/>
          <c:order val="113"/>
          <c:tx>
            <c:strRef>
              <c:f>'State,UT'!$E$1:$F$1</c:f>
              <c:strCache>
                <c:ptCount val="2"/>
                <c:pt idx="0">
                  <c:v>Growth Rate</c:v>
                </c:pt>
                <c:pt idx="1">
                  <c:v>Total</c:v>
                </c:pt>
              </c:strCache>
            </c:strRef>
          </c:tx>
          <c:val>
            <c:numRef>
              <c:f>('State,UT'!$E$145,'State,UT'!$F$145)</c:f>
            </c:numRef>
          </c:val>
          <c:extLst>
            <c:ext xmlns:c16="http://schemas.microsoft.com/office/drawing/2014/chart" uri="{C3380CC4-5D6E-409C-BE32-E72D297353CC}">
              <c16:uniqueId val="{00000071-6085-43A2-BDA0-32121D1BCF07}"/>
            </c:ext>
          </c:extLst>
        </c:ser>
        <c:ser>
          <c:idx val="114"/>
          <c:order val="114"/>
          <c:tx>
            <c:strRef>
              <c:f>'State,UT'!$E$1:$F$1</c:f>
              <c:strCache>
                <c:ptCount val="2"/>
                <c:pt idx="0">
                  <c:v>Growth Rate</c:v>
                </c:pt>
                <c:pt idx="1">
                  <c:v>Total</c:v>
                </c:pt>
              </c:strCache>
            </c:strRef>
          </c:tx>
          <c:val>
            <c:numRef>
              <c:f>('State,UT'!$E$146,'State,UT'!$F$146)</c:f>
            </c:numRef>
          </c:val>
          <c:extLst>
            <c:ext xmlns:c16="http://schemas.microsoft.com/office/drawing/2014/chart" uri="{C3380CC4-5D6E-409C-BE32-E72D297353CC}">
              <c16:uniqueId val="{00000072-6085-43A2-BDA0-32121D1BCF07}"/>
            </c:ext>
          </c:extLst>
        </c:ser>
        <c:ser>
          <c:idx val="115"/>
          <c:order val="115"/>
          <c:tx>
            <c:strRef>
              <c:f>'State,UT'!$E$1:$F$1</c:f>
              <c:strCache>
                <c:ptCount val="2"/>
                <c:pt idx="0">
                  <c:v>Growth Rate</c:v>
                </c:pt>
                <c:pt idx="1">
                  <c:v>Total</c:v>
                </c:pt>
              </c:strCache>
            </c:strRef>
          </c:tx>
          <c:val>
            <c:numRef>
              <c:f>('State,UT'!$E$157,'State,UT'!$F$157)</c:f>
            </c:numRef>
          </c:val>
          <c:extLst>
            <c:ext xmlns:c16="http://schemas.microsoft.com/office/drawing/2014/chart" uri="{C3380CC4-5D6E-409C-BE32-E72D297353CC}">
              <c16:uniqueId val="{00000073-6085-43A2-BDA0-32121D1BCF07}"/>
            </c:ext>
          </c:extLst>
        </c:ser>
        <c:ser>
          <c:idx val="116"/>
          <c:order val="116"/>
          <c:tx>
            <c:strRef>
              <c:f>'State,UT'!$E$1:$F$1</c:f>
              <c:strCache>
                <c:ptCount val="2"/>
                <c:pt idx="0">
                  <c:v>Growth Rate</c:v>
                </c:pt>
                <c:pt idx="1">
                  <c:v>Total</c:v>
                </c:pt>
              </c:strCache>
            </c:strRef>
          </c:tx>
          <c:val>
            <c:numRef>
              <c:f>('State,UT'!$E$158,'State,UT'!$F$158)</c:f>
            </c:numRef>
          </c:val>
          <c:extLst>
            <c:ext xmlns:c16="http://schemas.microsoft.com/office/drawing/2014/chart" uri="{C3380CC4-5D6E-409C-BE32-E72D297353CC}">
              <c16:uniqueId val="{00000074-6085-43A2-BDA0-32121D1BCF07}"/>
            </c:ext>
          </c:extLst>
        </c:ser>
        <c:ser>
          <c:idx val="117"/>
          <c:order val="117"/>
          <c:tx>
            <c:strRef>
              <c:f>'State,UT'!$E$1:$F$1</c:f>
              <c:strCache>
                <c:ptCount val="2"/>
                <c:pt idx="0">
                  <c:v>Growth Rate</c:v>
                </c:pt>
                <c:pt idx="1">
                  <c:v>Total</c:v>
                </c:pt>
              </c:strCache>
            </c:strRef>
          </c:tx>
          <c:val>
            <c:numRef>
              <c:f>('State,UT'!$E$159,'State,UT'!$F$159)</c:f>
            </c:numRef>
          </c:val>
          <c:extLst>
            <c:ext xmlns:c16="http://schemas.microsoft.com/office/drawing/2014/chart" uri="{C3380CC4-5D6E-409C-BE32-E72D297353CC}">
              <c16:uniqueId val="{00000075-6085-43A2-BDA0-32121D1BCF07}"/>
            </c:ext>
          </c:extLst>
        </c:ser>
        <c:ser>
          <c:idx val="118"/>
          <c:order val="118"/>
          <c:tx>
            <c:strRef>
              <c:f>'State,UT'!$E$1:$F$1</c:f>
              <c:strCache>
                <c:ptCount val="2"/>
                <c:pt idx="0">
                  <c:v>Growth Rate</c:v>
                </c:pt>
                <c:pt idx="1">
                  <c:v>Total</c:v>
                </c:pt>
              </c:strCache>
            </c:strRef>
          </c:tx>
          <c:val>
            <c:numRef>
              <c:f>('State,UT'!$E$160,'State,UT'!$F$160)</c:f>
            </c:numRef>
          </c:val>
          <c:extLst>
            <c:ext xmlns:c16="http://schemas.microsoft.com/office/drawing/2014/chart" uri="{C3380CC4-5D6E-409C-BE32-E72D297353CC}">
              <c16:uniqueId val="{00000076-6085-43A2-BDA0-32121D1BCF07}"/>
            </c:ext>
          </c:extLst>
        </c:ser>
        <c:ser>
          <c:idx val="119"/>
          <c:order val="119"/>
          <c:tx>
            <c:strRef>
              <c:f>'State,UT'!$E$1:$F$1</c:f>
              <c:strCache>
                <c:ptCount val="2"/>
                <c:pt idx="0">
                  <c:v>Growth Rate</c:v>
                </c:pt>
                <c:pt idx="1">
                  <c:v>Total</c:v>
                </c:pt>
              </c:strCache>
            </c:strRef>
          </c:tx>
          <c:val>
            <c:numRef>
              <c:f>('State,UT'!$E$161,'State,UT'!$F$161)</c:f>
            </c:numRef>
          </c:val>
          <c:extLst>
            <c:ext xmlns:c16="http://schemas.microsoft.com/office/drawing/2014/chart" uri="{C3380CC4-5D6E-409C-BE32-E72D297353CC}">
              <c16:uniqueId val="{00000077-6085-43A2-BDA0-32121D1BCF07}"/>
            </c:ext>
          </c:extLst>
        </c:ser>
        <c:ser>
          <c:idx val="120"/>
          <c:order val="120"/>
          <c:tx>
            <c:strRef>
              <c:f>'State,UT'!$E$1:$F$1</c:f>
              <c:strCache>
                <c:ptCount val="2"/>
                <c:pt idx="0">
                  <c:v>Growth Rate</c:v>
                </c:pt>
                <c:pt idx="1">
                  <c:v>Total</c:v>
                </c:pt>
              </c:strCache>
            </c:strRef>
          </c:tx>
          <c:val>
            <c:numRef>
              <c:f>('State,UT'!$E$172,'State,UT'!$F$172)</c:f>
            </c:numRef>
          </c:val>
          <c:extLst>
            <c:ext xmlns:c16="http://schemas.microsoft.com/office/drawing/2014/chart" uri="{C3380CC4-5D6E-409C-BE32-E72D297353CC}">
              <c16:uniqueId val="{00000078-6085-43A2-BDA0-32121D1BCF07}"/>
            </c:ext>
          </c:extLst>
        </c:ser>
        <c:ser>
          <c:idx val="121"/>
          <c:order val="121"/>
          <c:tx>
            <c:strRef>
              <c:f>'State,UT'!$E$1:$F$1</c:f>
              <c:strCache>
                <c:ptCount val="2"/>
                <c:pt idx="0">
                  <c:v>Growth Rate</c:v>
                </c:pt>
                <c:pt idx="1">
                  <c:v>Total</c:v>
                </c:pt>
              </c:strCache>
            </c:strRef>
          </c:tx>
          <c:val>
            <c:numRef>
              <c:f>('State,UT'!$E$173,'State,UT'!$F$173)</c:f>
            </c:numRef>
          </c:val>
          <c:extLst>
            <c:ext xmlns:c16="http://schemas.microsoft.com/office/drawing/2014/chart" uri="{C3380CC4-5D6E-409C-BE32-E72D297353CC}">
              <c16:uniqueId val="{00000079-6085-43A2-BDA0-32121D1BCF07}"/>
            </c:ext>
          </c:extLst>
        </c:ser>
        <c:ser>
          <c:idx val="122"/>
          <c:order val="122"/>
          <c:tx>
            <c:strRef>
              <c:f>'State,UT'!$E$1:$F$1</c:f>
              <c:strCache>
                <c:ptCount val="2"/>
                <c:pt idx="0">
                  <c:v>Growth Rate</c:v>
                </c:pt>
                <c:pt idx="1">
                  <c:v>Total</c:v>
                </c:pt>
              </c:strCache>
            </c:strRef>
          </c:tx>
          <c:val>
            <c:numRef>
              <c:f>('State,UT'!$E$174,'State,UT'!$F$174)</c:f>
            </c:numRef>
          </c:val>
          <c:extLst>
            <c:ext xmlns:c16="http://schemas.microsoft.com/office/drawing/2014/chart" uri="{C3380CC4-5D6E-409C-BE32-E72D297353CC}">
              <c16:uniqueId val="{0000007A-6085-43A2-BDA0-32121D1BCF07}"/>
            </c:ext>
          </c:extLst>
        </c:ser>
        <c:ser>
          <c:idx val="123"/>
          <c:order val="123"/>
          <c:tx>
            <c:strRef>
              <c:f>'State,UT'!$E$1:$F$1</c:f>
              <c:strCache>
                <c:ptCount val="2"/>
                <c:pt idx="0">
                  <c:v>Growth Rate</c:v>
                </c:pt>
                <c:pt idx="1">
                  <c:v>Total</c:v>
                </c:pt>
              </c:strCache>
            </c:strRef>
          </c:tx>
          <c:val>
            <c:numRef>
              <c:f>('State,UT'!$E$175,'State,UT'!$F$175)</c:f>
            </c:numRef>
          </c:val>
          <c:extLst>
            <c:ext xmlns:c16="http://schemas.microsoft.com/office/drawing/2014/chart" uri="{C3380CC4-5D6E-409C-BE32-E72D297353CC}">
              <c16:uniqueId val="{0000007B-6085-43A2-BDA0-32121D1BCF07}"/>
            </c:ext>
          </c:extLst>
        </c:ser>
        <c:ser>
          <c:idx val="124"/>
          <c:order val="124"/>
          <c:tx>
            <c:strRef>
              <c:f>'State,UT'!$E$1:$F$1</c:f>
              <c:strCache>
                <c:ptCount val="2"/>
                <c:pt idx="0">
                  <c:v>Growth Rate</c:v>
                </c:pt>
                <c:pt idx="1">
                  <c:v>Total</c:v>
                </c:pt>
              </c:strCache>
            </c:strRef>
          </c:tx>
          <c:val>
            <c:numRef>
              <c:f>('State,UT'!$E$176,'State,UT'!$F$176)</c:f>
            </c:numRef>
          </c:val>
          <c:extLst>
            <c:ext xmlns:c16="http://schemas.microsoft.com/office/drawing/2014/chart" uri="{C3380CC4-5D6E-409C-BE32-E72D297353CC}">
              <c16:uniqueId val="{0000007C-6085-43A2-BDA0-32121D1BCF07}"/>
            </c:ext>
          </c:extLst>
        </c:ser>
        <c:ser>
          <c:idx val="125"/>
          <c:order val="125"/>
          <c:tx>
            <c:strRef>
              <c:f>'State,UT'!$E$1:$F$1</c:f>
              <c:strCache>
                <c:ptCount val="2"/>
                <c:pt idx="0">
                  <c:v>Growth Rate</c:v>
                </c:pt>
                <c:pt idx="1">
                  <c:v>Total</c:v>
                </c:pt>
              </c:strCache>
            </c:strRef>
          </c:tx>
          <c:val>
            <c:numRef>
              <c:f>('State,UT'!$E$191,'State,UT'!$F$191)</c:f>
            </c:numRef>
          </c:val>
          <c:extLst>
            <c:ext xmlns:c16="http://schemas.microsoft.com/office/drawing/2014/chart" uri="{C3380CC4-5D6E-409C-BE32-E72D297353CC}">
              <c16:uniqueId val="{0000007D-6085-43A2-BDA0-32121D1BCF07}"/>
            </c:ext>
          </c:extLst>
        </c:ser>
        <c:ser>
          <c:idx val="126"/>
          <c:order val="126"/>
          <c:tx>
            <c:strRef>
              <c:f>'State,UT'!$E$1:$F$1</c:f>
              <c:strCache>
                <c:ptCount val="2"/>
                <c:pt idx="0">
                  <c:v>Growth Rate</c:v>
                </c:pt>
                <c:pt idx="1">
                  <c:v>Total</c:v>
                </c:pt>
              </c:strCache>
            </c:strRef>
          </c:tx>
          <c:val>
            <c:numRef>
              <c:f>('State,UT'!$E$190,'State,UT'!$F$190)</c:f>
            </c:numRef>
          </c:val>
          <c:extLst>
            <c:ext xmlns:c16="http://schemas.microsoft.com/office/drawing/2014/chart" uri="{C3380CC4-5D6E-409C-BE32-E72D297353CC}">
              <c16:uniqueId val="{0000007E-6085-43A2-BDA0-32121D1BCF07}"/>
            </c:ext>
          </c:extLst>
        </c:ser>
        <c:ser>
          <c:idx val="127"/>
          <c:order val="127"/>
          <c:tx>
            <c:strRef>
              <c:f>'State,UT'!$E$1:$F$1</c:f>
              <c:strCache>
                <c:ptCount val="2"/>
                <c:pt idx="0">
                  <c:v>Growth Rate</c:v>
                </c:pt>
                <c:pt idx="1">
                  <c:v>Total</c:v>
                </c:pt>
              </c:strCache>
            </c:strRef>
          </c:tx>
          <c:val>
            <c:numRef>
              <c:f>('State,UT'!$E$189,'State,UT'!$F$189)</c:f>
            </c:numRef>
          </c:val>
          <c:extLst>
            <c:ext xmlns:c16="http://schemas.microsoft.com/office/drawing/2014/chart" uri="{C3380CC4-5D6E-409C-BE32-E72D297353CC}">
              <c16:uniqueId val="{0000007F-6085-43A2-BDA0-32121D1BCF07}"/>
            </c:ext>
          </c:extLst>
        </c:ser>
        <c:ser>
          <c:idx val="128"/>
          <c:order val="128"/>
          <c:tx>
            <c:strRef>
              <c:f>'State,UT'!$E$1:$F$1</c:f>
              <c:strCache>
                <c:ptCount val="2"/>
                <c:pt idx="0">
                  <c:v>Growth Rate</c:v>
                </c:pt>
                <c:pt idx="1">
                  <c:v>Total</c:v>
                </c:pt>
              </c:strCache>
            </c:strRef>
          </c:tx>
          <c:val>
            <c:numRef>
              <c:f>('State,UT'!$E$188,'State,UT'!$F$188)</c:f>
            </c:numRef>
          </c:val>
          <c:extLst>
            <c:ext xmlns:c16="http://schemas.microsoft.com/office/drawing/2014/chart" uri="{C3380CC4-5D6E-409C-BE32-E72D297353CC}">
              <c16:uniqueId val="{00000080-6085-43A2-BDA0-32121D1BCF07}"/>
            </c:ext>
          </c:extLst>
        </c:ser>
        <c:ser>
          <c:idx val="129"/>
          <c:order val="129"/>
          <c:tx>
            <c:strRef>
              <c:f>'State,UT'!$E$1:$F$1</c:f>
              <c:strCache>
                <c:ptCount val="2"/>
                <c:pt idx="0">
                  <c:v>Growth Rate</c:v>
                </c:pt>
                <c:pt idx="1">
                  <c:v>Total</c:v>
                </c:pt>
              </c:strCache>
            </c:strRef>
          </c:tx>
          <c:val>
            <c:numRef>
              <c:f>('State,UT'!$E$187,'State,UT'!$F$187)</c:f>
            </c:numRef>
          </c:val>
          <c:extLst>
            <c:ext xmlns:c16="http://schemas.microsoft.com/office/drawing/2014/chart" uri="{C3380CC4-5D6E-409C-BE32-E72D297353CC}">
              <c16:uniqueId val="{00000081-6085-43A2-BDA0-32121D1BCF07}"/>
            </c:ext>
          </c:extLst>
        </c:ser>
        <c:ser>
          <c:idx val="130"/>
          <c:order val="130"/>
          <c:tx>
            <c:strRef>
              <c:f>'State,UT'!$E$1:$F$1</c:f>
              <c:strCache>
                <c:ptCount val="2"/>
                <c:pt idx="0">
                  <c:v>Growth Rate</c:v>
                </c:pt>
                <c:pt idx="1">
                  <c:v>Total</c:v>
                </c:pt>
              </c:strCache>
            </c:strRef>
          </c:tx>
          <c:val>
            <c:numRef>
              <c:f>('State,UT'!$E$12,'State,UT'!$F$12)</c:f>
            </c:numRef>
          </c:val>
          <c:extLst>
            <c:ext xmlns:c16="http://schemas.microsoft.com/office/drawing/2014/chart" uri="{C3380CC4-5D6E-409C-BE32-E72D297353CC}">
              <c16:uniqueId val="{00000082-6085-43A2-BDA0-32121D1BCF07}"/>
            </c:ext>
          </c:extLst>
        </c:ser>
        <c:ser>
          <c:idx val="131"/>
          <c:order val="131"/>
          <c:tx>
            <c:strRef>
              <c:f>'State,UT'!$E$1:$F$1</c:f>
              <c:strCache>
                <c:ptCount val="2"/>
                <c:pt idx="0">
                  <c:v>Growth Rate</c:v>
                </c:pt>
                <c:pt idx="1">
                  <c:v>Total</c:v>
                </c:pt>
              </c:strCache>
            </c:strRef>
          </c:tx>
          <c:val>
            <c:numRef>
              <c:f>('State,UT'!$E$13,'State,UT'!$F$13)</c:f>
            </c:numRef>
          </c:val>
          <c:extLst>
            <c:ext xmlns:c16="http://schemas.microsoft.com/office/drawing/2014/chart" uri="{C3380CC4-5D6E-409C-BE32-E72D297353CC}">
              <c16:uniqueId val="{00000083-6085-43A2-BDA0-32121D1BCF07}"/>
            </c:ext>
          </c:extLst>
        </c:ser>
        <c:ser>
          <c:idx val="132"/>
          <c:order val="132"/>
          <c:tx>
            <c:strRef>
              <c:f>'State,UT'!$E$1:$F$1</c:f>
              <c:strCache>
                <c:ptCount val="2"/>
                <c:pt idx="0">
                  <c:v>Growth Rate</c:v>
                </c:pt>
                <c:pt idx="1">
                  <c:v>Total</c:v>
                </c:pt>
              </c:strCache>
            </c:strRef>
          </c:tx>
          <c:val>
            <c:numRef>
              <c:f>('State,UT'!$E$14,'State,UT'!$F$14)</c:f>
            </c:numRef>
          </c:val>
          <c:extLst>
            <c:ext xmlns:c16="http://schemas.microsoft.com/office/drawing/2014/chart" uri="{C3380CC4-5D6E-409C-BE32-E72D297353CC}">
              <c16:uniqueId val="{00000084-6085-43A2-BDA0-32121D1BCF07}"/>
            </c:ext>
          </c:extLst>
        </c:ser>
        <c:ser>
          <c:idx val="133"/>
          <c:order val="133"/>
          <c:tx>
            <c:strRef>
              <c:f>'State,UT'!$E$1:$F$1</c:f>
              <c:strCache>
                <c:ptCount val="2"/>
                <c:pt idx="0">
                  <c:v>Growth Rate</c:v>
                </c:pt>
                <c:pt idx="1">
                  <c:v>Total</c:v>
                </c:pt>
              </c:strCache>
            </c:strRef>
          </c:tx>
          <c:val>
            <c:numRef>
              <c:f>('State,UT'!$E$15,'State,UT'!$F$15)</c:f>
            </c:numRef>
          </c:val>
          <c:extLst>
            <c:ext xmlns:c16="http://schemas.microsoft.com/office/drawing/2014/chart" uri="{C3380CC4-5D6E-409C-BE32-E72D297353CC}">
              <c16:uniqueId val="{00000085-6085-43A2-BDA0-32121D1BCF07}"/>
            </c:ext>
          </c:extLst>
        </c:ser>
        <c:ser>
          <c:idx val="134"/>
          <c:order val="134"/>
          <c:tx>
            <c:strRef>
              <c:f>'State,UT'!$E$1:$F$1</c:f>
              <c:strCache>
                <c:ptCount val="2"/>
                <c:pt idx="0">
                  <c:v>Growth Rate</c:v>
                </c:pt>
                <c:pt idx="1">
                  <c:v>Total</c:v>
                </c:pt>
              </c:strCache>
            </c:strRef>
          </c:tx>
          <c:val>
            <c:numRef>
              <c:f>('State,UT'!$E$16,'State,UT'!$F$16)</c:f>
            </c:numRef>
          </c:val>
          <c:extLst>
            <c:ext xmlns:c16="http://schemas.microsoft.com/office/drawing/2014/chart" uri="{C3380CC4-5D6E-409C-BE32-E72D297353CC}">
              <c16:uniqueId val="{00000086-6085-43A2-BDA0-32121D1BCF07}"/>
            </c:ext>
          </c:extLst>
        </c:ser>
        <c:ser>
          <c:idx val="135"/>
          <c:order val="135"/>
          <c:tx>
            <c:strRef>
              <c:f>'State,UT'!$E$1:$F$1</c:f>
              <c:strCache>
                <c:ptCount val="2"/>
                <c:pt idx="0">
                  <c:v>Growth Rate</c:v>
                </c:pt>
                <c:pt idx="1">
                  <c:v>Total</c:v>
                </c:pt>
              </c:strCache>
            </c:strRef>
          </c:tx>
          <c:val>
            <c:numRef>
              <c:f>('State,UT'!$E$27,'State,UT'!$F$27)</c:f>
            </c:numRef>
          </c:val>
          <c:extLst>
            <c:ext xmlns:c16="http://schemas.microsoft.com/office/drawing/2014/chart" uri="{C3380CC4-5D6E-409C-BE32-E72D297353CC}">
              <c16:uniqueId val="{00000087-6085-43A2-BDA0-32121D1BCF07}"/>
            </c:ext>
          </c:extLst>
        </c:ser>
        <c:ser>
          <c:idx val="136"/>
          <c:order val="136"/>
          <c:tx>
            <c:strRef>
              <c:f>'State,UT'!$E$1:$F$1</c:f>
              <c:strCache>
                <c:ptCount val="2"/>
                <c:pt idx="0">
                  <c:v>Growth Rate</c:v>
                </c:pt>
                <c:pt idx="1">
                  <c:v>Total</c:v>
                </c:pt>
              </c:strCache>
            </c:strRef>
          </c:tx>
          <c:val>
            <c:numRef>
              <c:f>('State,UT'!$E$28,'State,UT'!$F$28)</c:f>
            </c:numRef>
          </c:val>
          <c:extLst>
            <c:ext xmlns:c16="http://schemas.microsoft.com/office/drawing/2014/chart" uri="{C3380CC4-5D6E-409C-BE32-E72D297353CC}">
              <c16:uniqueId val="{00000088-6085-43A2-BDA0-32121D1BCF07}"/>
            </c:ext>
          </c:extLst>
        </c:ser>
        <c:ser>
          <c:idx val="137"/>
          <c:order val="137"/>
          <c:tx>
            <c:strRef>
              <c:f>'State,UT'!$E$1:$F$1</c:f>
              <c:strCache>
                <c:ptCount val="2"/>
                <c:pt idx="0">
                  <c:v>Growth Rate</c:v>
                </c:pt>
                <c:pt idx="1">
                  <c:v>Total</c:v>
                </c:pt>
              </c:strCache>
            </c:strRef>
          </c:tx>
          <c:val>
            <c:numRef>
              <c:f>('State,UT'!$E$29,'State,UT'!$F$29)</c:f>
            </c:numRef>
          </c:val>
          <c:extLst>
            <c:ext xmlns:c16="http://schemas.microsoft.com/office/drawing/2014/chart" uri="{C3380CC4-5D6E-409C-BE32-E72D297353CC}">
              <c16:uniqueId val="{00000089-6085-43A2-BDA0-32121D1BCF07}"/>
            </c:ext>
          </c:extLst>
        </c:ser>
        <c:ser>
          <c:idx val="138"/>
          <c:order val="138"/>
          <c:tx>
            <c:strRef>
              <c:f>'State,UT'!$E$1:$F$1</c:f>
              <c:strCache>
                <c:ptCount val="2"/>
                <c:pt idx="0">
                  <c:v>Growth Rate</c:v>
                </c:pt>
                <c:pt idx="1">
                  <c:v>Total</c:v>
                </c:pt>
              </c:strCache>
            </c:strRef>
          </c:tx>
          <c:val>
            <c:numRef>
              <c:f>('State,UT'!$E$30,'State,UT'!$F$30)</c:f>
            </c:numRef>
          </c:val>
          <c:extLst>
            <c:ext xmlns:c16="http://schemas.microsoft.com/office/drawing/2014/chart" uri="{C3380CC4-5D6E-409C-BE32-E72D297353CC}">
              <c16:uniqueId val="{0000008A-6085-43A2-BDA0-32121D1BCF07}"/>
            </c:ext>
          </c:extLst>
        </c:ser>
        <c:ser>
          <c:idx val="139"/>
          <c:order val="139"/>
          <c:tx>
            <c:strRef>
              <c:f>'State,UT'!$E$1:$F$1</c:f>
              <c:strCache>
                <c:ptCount val="2"/>
                <c:pt idx="0">
                  <c:v>Growth Rate</c:v>
                </c:pt>
                <c:pt idx="1">
                  <c:v>Total</c:v>
                </c:pt>
              </c:strCache>
            </c:strRef>
          </c:tx>
          <c:val>
            <c:numRef>
              <c:f>('State,UT'!$E$31,'State,UT'!$F$31)</c:f>
            </c:numRef>
          </c:val>
          <c:extLst>
            <c:ext xmlns:c16="http://schemas.microsoft.com/office/drawing/2014/chart" uri="{C3380CC4-5D6E-409C-BE32-E72D297353CC}">
              <c16:uniqueId val="{0000008B-6085-43A2-BDA0-32121D1BCF07}"/>
            </c:ext>
          </c:extLst>
        </c:ser>
        <c:ser>
          <c:idx val="140"/>
          <c:order val="140"/>
          <c:tx>
            <c:strRef>
              <c:f>'State,UT'!$E$1:$F$1</c:f>
              <c:strCache>
                <c:ptCount val="2"/>
                <c:pt idx="0">
                  <c:v>Growth Rate</c:v>
                </c:pt>
                <c:pt idx="1">
                  <c:v>Total</c:v>
                </c:pt>
              </c:strCache>
            </c:strRef>
          </c:tx>
          <c:val>
            <c:numRef>
              <c:f>('State,UT'!$E$42,'State,UT'!$F$42)</c:f>
            </c:numRef>
          </c:val>
          <c:extLst>
            <c:ext xmlns:c16="http://schemas.microsoft.com/office/drawing/2014/chart" uri="{C3380CC4-5D6E-409C-BE32-E72D297353CC}">
              <c16:uniqueId val="{0000008C-6085-43A2-BDA0-32121D1BCF07}"/>
            </c:ext>
          </c:extLst>
        </c:ser>
        <c:ser>
          <c:idx val="141"/>
          <c:order val="141"/>
          <c:tx>
            <c:strRef>
              <c:f>'State,UT'!$E$1:$F$1</c:f>
              <c:strCache>
                <c:ptCount val="2"/>
                <c:pt idx="0">
                  <c:v>Growth Rate</c:v>
                </c:pt>
                <c:pt idx="1">
                  <c:v>Total</c:v>
                </c:pt>
              </c:strCache>
            </c:strRef>
          </c:tx>
          <c:val>
            <c:numRef>
              <c:f>('State,UT'!$E$43,'State,UT'!$F$43)</c:f>
            </c:numRef>
          </c:val>
          <c:extLst>
            <c:ext xmlns:c16="http://schemas.microsoft.com/office/drawing/2014/chart" uri="{C3380CC4-5D6E-409C-BE32-E72D297353CC}">
              <c16:uniqueId val="{0000008D-6085-43A2-BDA0-32121D1BCF07}"/>
            </c:ext>
          </c:extLst>
        </c:ser>
        <c:ser>
          <c:idx val="142"/>
          <c:order val="142"/>
          <c:tx>
            <c:strRef>
              <c:f>'State,UT'!$E$1:$F$1</c:f>
              <c:strCache>
                <c:ptCount val="2"/>
                <c:pt idx="0">
                  <c:v>Growth Rate</c:v>
                </c:pt>
                <c:pt idx="1">
                  <c:v>Total</c:v>
                </c:pt>
              </c:strCache>
            </c:strRef>
          </c:tx>
          <c:val>
            <c:numRef>
              <c:f>('State,UT'!$E$44,'State,UT'!$F$44)</c:f>
            </c:numRef>
          </c:val>
          <c:extLst>
            <c:ext xmlns:c16="http://schemas.microsoft.com/office/drawing/2014/chart" uri="{C3380CC4-5D6E-409C-BE32-E72D297353CC}">
              <c16:uniqueId val="{0000008E-6085-43A2-BDA0-32121D1BCF07}"/>
            </c:ext>
          </c:extLst>
        </c:ser>
        <c:ser>
          <c:idx val="143"/>
          <c:order val="143"/>
          <c:tx>
            <c:strRef>
              <c:f>'State,UT'!$E$1:$F$1</c:f>
              <c:strCache>
                <c:ptCount val="2"/>
                <c:pt idx="0">
                  <c:v>Growth Rate</c:v>
                </c:pt>
                <c:pt idx="1">
                  <c:v>Total</c:v>
                </c:pt>
              </c:strCache>
            </c:strRef>
          </c:tx>
          <c:val>
            <c:numRef>
              <c:f>('State,UT'!$E$45,'State,UT'!$F$45)</c:f>
            </c:numRef>
          </c:val>
          <c:extLst>
            <c:ext xmlns:c16="http://schemas.microsoft.com/office/drawing/2014/chart" uri="{C3380CC4-5D6E-409C-BE32-E72D297353CC}">
              <c16:uniqueId val="{0000008F-6085-43A2-BDA0-32121D1BCF07}"/>
            </c:ext>
          </c:extLst>
        </c:ser>
        <c:ser>
          <c:idx val="144"/>
          <c:order val="144"/>
          <c:tx>
            <c:strRef>
              <c:f>'State,UT'!$E$1:$F$1</c:f>
              <c:strCache>
                <c:ptCount val="2"/>
                <c:pt idx="0">
                  <c:v>Growth Rate</c:v>
                </c:pt>
                <c:pt idx="1">
                  <c:v>Total</c:v>
                </c:pt>
              </c:strCache>
            </c:strRef>
          </c:tx>
          <c:val>
            <c:numRef>
              <c:f>('State,UT'!$E$46,'State,UT'!$F$46)</c:f>
            </c:numRef>
          </c:val>
          <c:extLst>
            <c:ext xmlns:c16="http://schemas.microsoft.com/office/drawing/2014/chart" uri="{C3380CC4-5D6E-409C-BE32-E72D297353CC}">
              <c16:uniqueId val="{00000090-6085-43A2-BDA0-32121D1BCF07}"/>
            </c:ext>
          </c:extLst>
        </c:ser>
        <c:ser>
          <c:idx val="145"/>
          <c:order val="145"/>
          <c:tx>
            <c:strRef>
              <c:f>'State,UT'!$E$1:$F$1</c:f>
              <c:strCache>
                <c:ptCount val="2"/>
                <c:pt idx="0">
                  <c:v>Growth Rate</c:v>
                </c:pt>
                <c:pt idx="1">
                  <c:v>Total</c:v>
                </c:pt>
              </c:strCache>
            </c:strRef>
          </c:tx>
          <c:val>
            <c:numRef>
              <c:f>('State,UT'!$E$57,'State,UT'!$F$57)</c:f>
            </c:numRef>
          </c:val>
          <c:extLst>
            <c:ext xmlns:c16="http://schemas.microsoft.com/office/drawing/2014/chart" uri="{C3380CC4-5D6E-409C-BE32-E72D297353CC}">
              <c16:uniqueId val="{00000091-6085-43A2-BDA0-32121D1BCF07}"/>
            </c:ext>
          </c:extLst>
        </c:ser>
        <c:ser>
          <c:idx val="146"/>
          <c:order val="146"/>
          <c:tx>
            <c:strRef>
              <c:f>'State,UT'!$E$1:$F$1</c:f>
              <c:strCache>
                <c:ptCount val="2"/>
                <c:pt idx="0">
                  <c:v>Growth Rate</c:v>
                </c:pt>
                <c:pt idx="1">
                  <c:v>Total</c:v>
                </c:pt>
              </c:strCache>
            </c:strRef>
          </c:tx>
          <c:val>
            <c:numRef>
              <c:f>('State,UT'!$E$58,'State,UT'!$F$58)</c:f>
            </c:numRef>
          </c:val>
          <c:extLst>
            <c:ext xmlns:c16="http://schemas.microsoft.com/office/drawing/2014/chart" uri="{C3380CC4-5D6E-409C-BE32-E72D297353CC}">
              <c16:uniqueId val="{00000092-6085-43A2-BDA0-32121D1BCF07}"/>
            </c:ext>
          </c:extLst>
        </c:ser>
        <c:ser>
          <c:idx val="147"/>
          <c:order val="147"/>
          <c:tx>
            <c:strRef>
              <c:f>'State,UT'!$E$1:$F$1</c:f>
              <c:strCache>
                <c:ptCount val="2"/>
                <c:pt idx="0">
                  <c:v>Growth Rate</c:v>
                </c:pt>
                <c:pt idx="1">
                  <c:v>Total</c:v>
                </c:pt>
              </c:strCache>
            </c:strRef>
          </c:tx>
          <c:val>
            <c:numRef>
              <c:f>('State,UT'!$E$59,'State,UT'!$F$59)</c:f>
            </c:numRef>
          </c:val>
          <c:extLst>
            <c:ext xmlns:c16="http://schemas.microsoft.com/office/drawing/2014/chart" uri="{C3380CC4-5D6E-409C-BE32-E72D297353CC}">
              <c16:uniqueId val="{00000093-6085-43A2-BDA0-32121D1BCF07}"/>
            </c:ext>
          </c:extLst>
        </c:ser>
        <c:ser>
          <c:idx val="148"/>
          <c:order val="148"/>
          <c:tx>
            <c:strRef>
              <c:f>'State,UT'!$E$1:$F$1</c:f>
              <c:strCache>
                <c:ptCount val="2"/>
                <c:pt idx="0">
                  <c:v>Growth Rate</c:v>
                </c:pt>
                <c:pt idx="1">
                  <c:v>Total</c:v>
                </c:pt>
              </c:strCache>
            </c:strRef>
          </c:tx>
          <c:val>
            <c:numRef>
              <c:f>('State,UT'!$E$60,'State,UT'!$F$60)</c:f>
            </c:numRef>
          </c:val>
          <c:extLst>
            <c:ext xmlns:c16="http://schemas.microsoft.com/office/drawing/2014/chart" uri="{C3380CC4-5D6E-409C-BE32-E72D297353CC}">
              <c16:uniqueId val="{00000094-6085-43A2-BDA0-32121D1BCF07}"/>
            </c:ext>
          </c:extLst>
        </c:ser>
        <c:ser>
          <c:idx val="149"/>
          <c:order val="149"/>
          <c:tx>
            <c:strRef>
              <c:f>'State,UT'!$E$1:$F$1</c:f>
              <c:strCache>
                <c:ptCount val="2"/>
                <c:pt idx="0">
                  <c:v>Growth Rate</c:v>
                </c:pt>
                <c:pt idx="1">
                  <c:v>Total</c:v>
                </c:pt>
              </c:strCache>
            </c:strRef>
          </c:tx>
          <c:val>
            <c:numRef>
              <c:f>('State,UT'!$E$61,'State,UT'!$F$61)</c:f>
            </c:numRef>
          </c:val>
          <c:extLst>
            <c:ext xmlns:c16="http://schemas.microsoft.com/office/drawing/2014/chart" uri="{C3380CC4-5D6E-409C-BE32-E72D297353CC}">
              <c16:uniqueId val="{00000095-6085-43A2-BDA0-32121D1BCF07}"/>
            </c:ext>
          </c:extLst>
        </c:ser>
        <c:ser>
          <c:idx val="150"/>
          <c:order val="150"/>
          <c:tx>
            <c:strRef>
              <c:f>'State,UT'!$E$1:$F$1</c:f>
              <c:strCache>
                <c:ptCount val="2"/>
                <c:pt idx="0">
                  <c:v>Growth Rate</c:v>
                </c:pt>
                <c:pt idx="1">
                  <c:v>Total</c:v>
                </c:pt>
              </c:strCache>
            </c:strRef>
          </c:tx>
          <c:val>
            <c:numRef>
              <c:f>('State,UT'!$E$72,'State,UT'!$F$72)</c:f>
              <c:numCache>
                <c:formatCode>0%</c:formatCode>
                <c:ptCount val="2"/>
                <c:pt idx="0">
                  <c:v>0.40208607154539239</c:v>
                </c:pt>
                <c:pt idx="1">
                  <c:v>0.59791392845460756</c:v>
                </c:pt>
              </c:numCache>
            </c:numRef>
          </c:val>
          <c:extLst>
            <c:ext xmlns:c16="http://schemas.microsoft.com/office/drawing/2014/chart" uri="{C3380CC4-5D6E-409C-BE32-E72D297353CC}">
              <c16:uniqueId val="{00000096-6085-43A2-BDA0-32121D1BCF07}"/>
            </c:ext>
          </c:extLst>
        </c:ser>
        <c:ser>
          <c:idx val="151"/>
          <c:order val="151"/>
          <c:tx>
            <c:strRef>
              <c:f>'State,UT'!$E$1:$F$1</c:f>
              <c:strCache>
                <c:ptCount val="2"/>
                <c:pt idx="0">
                  <c:v>Growth Rate</c:v>
                </c:pt>
                <c:pt idx="1">
                  <c:v>Total</c:v>
                </c:pt>
              </c:strCache>
            </c:strRef>
          </c:tx>
          <c:val>
            <c:numRef>
              <c:f>('State,UT'!$E$73,'State,UT'!$F$73)</c:f>
              <c:numCache>
                <c:formatCode>0%</c:formatCode>
                <c:ptCount val="2"/>
                <c:pt idx="0">
                  <c:v>0.40208607154539239</c:v>
                </c:pt>
                <c:pt idx="1">
                  <c:v>0.59791392845460756</c:v>
                </c:pt>
              </c:numCache>
            </c:numRef>
          </c:val>
          <c:extLst>
            <c:ext xmlns:c16="http://schemas.microsoft.com/office/drawing/2014/chart" uri="{C3380CC4-5D6E-409C-BE32-E72D297353CC}">
              <c16:uniqueId val="{00000097-6085-43A2-BDA0-32121D1BCF07}"/>
            </c:ext>
          </c:extLst>
        </c:ser>
        <c:ser>
          <c:idx val="152"/>
          <c:order val="152"/>
          <c:tx>
            <c:strRef>
              <c:f>'State,UT'!$E$1:$F$1</c:f>
              <c:strCache>
                <c:ptCount val="2"/>
                <c:pt idx="0">
                  <c:v>Growth Rate</c:v>
                </c:pt>
                <c:pt idx="1">
                  <c:v>Total</c:v>
                </c:pt>
              </c:strCache>
            </c:strRef>
          </c:tx>
          <c:val>
            <c:numRef>
              <c:f>('State,UT'!$E$74,'State,UT'!$F$74)</c:f>
              <c:numCache>
                <c:formatCode>0%</c:formatCode>
                <c:ptCount val="2"/>
                <c:pt idx="0">
                  <c:v>0.40208607154539239</c:v>
                </c:pt>
                <c:pt idx="1">
                  <c:v>0.59791392845460756</c:v>
                </c:pt>
              </c:numCache>
            </c:numRef>
          </c:val>
          <c:extLst>
            <c:ext xmlns:c16="http://schemas.microsoft.com/office/drawing/2014/chart" uri="{C3380CC4-5D6E-409C-BE32-E72D297353CC}">
              <c16:uniqueId val="{00000098-6085-43A2-BDA0-32121D1BCF07}"/>
            </c:ext>
          </c:extLst>
        </c:ser>
        <c:ser>
          <c:idx val="153"/>
          <c:order val="153"/>
          <c:tx>
            <c:strRef>
              <c:f>'State,UT'!$E$1:$F$1</c:f>
              <c:strCache>
                <c:ptCount val="2"/>
                <c:pt idx="0">
                  <c:v>Growth Rate</c:v>
                </c:pt>
                <c:pt idx="1">
                  <c:v>Total</c:v>
                </c:pt>
              </c:strCache>
            </c:strRef>
          </c:tx>
          <c:val>
            <c:numRef>
              <c:f>('State,UT'!$E$75,'State,UT'!$F$75)</c:f>
              <c:numCache>
                <c:formatCode>0%</c:formatCode>
                <c:ptCount val="2"/>
                <c:pt idx="0">
                  <c:v>0.40208607154539239</c:v>
                </c:pt>
                <c:pt idx="1">
                  <c:v>0.59791392845460756</c:v>
                </c:pt>
              </c:numCache>
            </c:numRef>
          </c:val>
          <c:extLst>
            <c:ext xmlns:c16="http://schemas.microsoft.com/office/drawing/2014/chart" uri="{C3380CC4-5D6E-409C-BE32-E72D297353CC}">
              <c16:uniqueId val="{00000099-6085-43A2-BDA0-32121D1BCF07}"/>
            </c:ext>
          </c:extLst>
        </c:ser>
        <c:ser>
          <c:idx val="154"/>
          <c:order val="154"/>
          <c:tx>
            <c:strRef>
              <c:f>'State,UT'!$E$1:$F$1</c:f>
              <c:strCache>
                <c:ptCount val="2"/>
                <c:pt idx="0">
                  <c:v>Growth Rate</c:v>
                </c:pt>
                <c:pt idx="1">
                  <c:v>Total</c:v>
                </c:pt>
              </c:strCache>
            </c:strRef>
          </c:tx>
          <c:val>
            <c:numRef>
              <c:f>('State,UT'!$E$76,'State,UT'!$F$76)</c:f>
              <c:numCache>
                <c:formatCode>0%</c:formatCode>
                <c:ptCount val="2"/>
                <c:pt idx="0">
                  <c:v>0.40208607154539239</c:v>
                </c:pt>
                <c:pt idx="1">
                  <c:v>0.59791392845460756</c:v>
                </c:pt>
              </c:numCache>
            </c:numRef>
          </c:val>
          <c:extLst>
            <c:ext xmlns:c16="http://schemas.microsoft.com/office/drawing/2014/chart" uri="{C3380CC4-5D6E-409C-BE32-E72D297353CC}">
              <c16:uniqueId val="{0000009E-6085-43A2-BDA0-32121D1BCF07}"/>
            </c:ext>
          </c:extLst>
        </c:ser>
        <c:ser>
          <c:idx val="155"/>
          <c:order val="155"/>
          <c:tx>
            <c:strRef>
              <c:f>'State,UT'!$E$1:$F$1</c:f>
              <c:strCache>
                <c:ptCount val="2"/>
                <c:pt idx="0">
                  <c:v>Growth Rate</c:v>
                </c:pt>
                <c:pt idx="1">
                  <c:v>Total</c:v>
                </c:pt>
              </c:strCache>
            </c:strRef>
          </c:tx>
          <c:val>
            <c:numRef>
              <c:f>('State,UT'!$E$87,'State,UT'!$F$87)</c:f>
            </c:numRef>
          </c:val>
          <c:extLst>
            <c:ext xmlns:c16="http://schemas.microsoft.com/office/drawing/2014/chart" uri="{C3380CC4-5D6E-409C-BE32-E72D297353CC}">
              <c16:uniqueId val="{0000009F-6085-43A2-BDA0-32121D1BCF07}"/>
            </c:ext>
          </c:extLst>
        </c:ser>
        <c:ser>
          <c:idx val="156"/>
          <c:order val="156"/>
          <c:tx>
            <c:strRef>
              <c:f>'State,UT'!$E$1:$F$1</c:f>
              <c:strCache>
                <c:ptCount val="2"/>
                <c:pt idx="0">
                  <c:v>Growth Rate</c:v>
                </c:pt>
                <c:pt idx="1">
                  <c:v>Total</c:v>
                </c:pt>
              </c:strCache>
            </c:strRef>
          </c:tx>
          <c:val>
            <c:numRef>
              <c:f>('State,UT'!$E$88,'State,UT'!$F$88)</c:f>
            </c:numRef>
          </c:val>
          <c:extLst>
            <c:ext xmlns:c16="http://schemas.microsoft.com/office/drawing/2014/chart" uri="{C3380CC4-5D6E-409C-BE32-E72D297353CC}">
              <c16:uniqueId val="{000000A0-6085-43A2-BDA0-32121D1BCF07}"/>
            </c:ext>
          </c:extLst>
        </c:ser>
        <c:ser>
          <c:idx val="157"/>
          <c:order val="157"/>
          <c:tx>
            <c:strRef>
              <c:f>'State,UT'!$E$1:$F$1</c:f>
              <c:strCache>
                <c:ptCount val="2"/>
                <c:pt idx="0">
                  <c:v>Growth Rate</c:v>
                </c:pt>
                <c:pt idx="1">
                  <c:v>Total</c:v>
                </c:pt>
              </c:strCache>
            </c:strRef>
          </c:tx>
          <c:val>
            <c:numRef>
              <c:f>('State,UT'!$E$89,'State,UT'!$F$89)</c:f>
            </c:numRef>
          </c:val>
          <c:extLst>
            <c:ext xmlns:c16="http://schemas.microsoft.com/office/drawing/2014/chart" uri="{C3380CC4-5D6E-409C-BE32-E72D297353CC}">
              <c16:uniqueId val="{000000A1-6085-43A2-BDA0-32121D1BCF07}"/>
            </c:ext>
          </c:extLst>
        </c:ser>
        <c:ser>
          <c:idx val="158"/>
          <c:order val="158"/>
          <c:tx>
            <c:strRef>
              <c:f>'State,UT'!$E$1:$F$1</c:f>
              <c:strCache>
                <c:ptCount val="2"/>
                <c:pt idx="0">
                  <c:v>Growth Rate</c:v>
                </c:pt>
                <c:pt idx="1">
                  <c:v>Total</c:v>
                </c:pt>
              </c:strCache>
            </c:strRef>
          </c:tx>
          <c:val>
            <c:numRef>
              <c:f>('State,UT'!$E$90,'State,UT'!$F$90)</c:f>
            </c:numRef>
          </c:val>
          <c:extLst>
            <c:ext xmlns:c16="http://schemas.microsoft.com/office/drawing/2014/chart" uri="{C3380CC4-5D6E-409C-BE32-E72D297353CC}">
              <c16:uniqueId val="{000000A2-6085-43A2-BDA0-32121D1BCF07}"/>
            </c:ext>
          </c:extLst>
        </c:ser>
        <c:ser>
          <c:idx val="159"/>
          <c:order val="159"/>
          <c:tx>
            <c:strRef>
              <c:f>'State,UT'!$E$1:$F$1</c:f>
              <c:strCache>
                <c:ptCount val="2"/>
                <c:pt idx="0">
                  <c:v>Growth Rate</c:v>
                </c:pt>
                <c:pt idx="1">
                  <c:v>Total</c:v>
                </c:pt>
              </c:strCache>
            </c:strRef>
          </c:tx>
          <c:val>
            <c:numRef>
              <c:f>('State,UT'!$E$91,'State,UT'!$F$91)</c:f>
            </c:numRef>
          </c:val>
          <c:extLst>
            <c:ext xmlns:c16="http://schemas.microsoft.com/office/drawing/2014/chart" uri="{C3380CC4-5D6E-409C-BE32-E72D297353CC}">
              <c16:uniqueId val="{000000A3-6085-43A2-BDA0-32121D1BCF07}"/>
            </c:ext>
          </c:extLst>
        </c:ser>
        <c:ser>
          <c:idx val="160"/>
          <c:order val="160"/>
          <c:tx>
            <c:strRef>
              <c:f>'State,UT'!$E$1:$F$1</c:f>
              <c:strCache>
                <c:ptCount val="2"/>
                <c:pt idx="0">
                  <c:v>Growth Rate</c:v>
                </c:pt>
                <c:pt idx="1">
                  <c:v>Total</c:v>
                </c:pt>
              </c:strCache>
            </c:strRef>
          </c:tx>
          <c:val>
            <c:numRef>
              <c:f>('State,UT'!$E$102,'State,UT'!$F$102)</c:f>
            </c:numRef>
          </c:val>
          <c:extLst>
            <c:ext xmlns:c16="http://schemas.microsoft.com/office/drawing/2014/chart" uri="{C3380CC4-5D6E-409C-BE32-E72D297353CC}">
              <c16:uniqueId val="{000000A4-6085-43A2-BDA0-32121D1BCF07}"/>
            </c:ext>
          </c:extLst>
        </c:ser>
        <c:ser>
          <c:idx val="161"/>
          <c:order val="161"/>
          <c:tx>
            <c:strRef>
              <c:f>'State,UT'!$E$1:$F$1</c:f>
              <c:strCache>
                <c:ptCount val="2"/>
                <c:pt idx="0">
                  <c:v>Growth Rate</c:v>
                </c:pt>
                <c:pt idx="1">
                  <c:v>Total</c:v>
                </c:pt>
              </c:strCache>
            </c:strRef>
          </c:tx>
          <c:val>
            <c:numRef>
              <c:f>('State,UT'!$E$103,'State,UT'!$F$103)</c:f>
            </c:numRef>
          </c:val>
          <c:extLst>
            <c:ext xmlns:c16="http://schemas.microsoft.com/office/drawing/2014/chart" uri="{C3380CC4-5D6E-409C-BE32-E72D297353CC}">
              <c16:uniqueId val="{000000A5-6085-43A2-BDA0-32121D1BCF07}"/>
            </c:ext>
          </c:extLst>
        </c:ser>
        <c:ser>
          <c:idx val="162"/>
          <c:order val="162"/>
          <c:tx>
            <c:strRef>
              <c:f>'State,UT'!$E$1:$F$1</c:f>
              <c:strCache>
                <c:ptCount val="2"/>
                <c:pt idx="0">
                  <c:v>Growth Rate</c:v>
                </c:pt>
                <c:pt idx="1">
                  <c:v>Total</c:v>
                </c:pt>
              </c:strCache>
            </c:strRef>
          </c:tx>
          <c:val>
            <c:numRef>
              <c:f>('State,UT'!$E$104,'State,UT'!$F$104)</c:f>
            </c:numRef>
          </c:val>
          <c:extLst>
            <c:ext xmlns:c16="http://schemas.microsoft.com/office/drawing/2014/chart" uri="{C3380CC4-5D6E-409C-BE32-E72D297353CC}">
              <c16:uniqueId val="{000000A6-6085-43A2-BDA0-32121D1BCF07}"/>
            </c:ext>
          </c:extLst>
        </c:ser>
        <c:ser>
          <c:idx val="163"/>
          <c:order val="163"/>
          <c:tx>
            <c:strRef>
              <c:f>'State,UT'!$E$1:$F$1</c:f>
              <c:strCache>
                <c:ptCount val="2"/>
                <c:pt idx="0">
                  <c:v>Growth Rate</c:v>
                </c:pt>
                <c:pt idx="1">
                  <c:v>Total</c:v>
                </c:pt>
              </c:strCache>
            </c:strRef>
          </c:tx>
          <c:val>
            <c:numRef>
              <c:f>('State,UT'!$E$105,'State,UT'!$F$105)</c:f>
            </c:numRef>
          </c:val>
          <c:extLst>
            <c:ext xmlns:c16="http://schemas.microsoft.com/office/drawing/2014/chart" uri="{C3380CC4-5D6E-409C-BE32-E72D297353CC}">
              <c16:uniqueId val="{000000A7-6085-43A2-BDA0-32121D1BCF07}"/>
            </c:ext>
          </c:extLst>
        </c:ser>
        <c:ser>
          <c:idx val="164"/>
          <c:order val="164"/>
          <c:tx>
            <c:strRef>
              <c:f>'State,UT'!$E$1:$F$1</c:f>
              <c:strCache>
                <c:ptCount val="2"/>
                <c:pt idx="0">
                  <c:v>Growth Rate</c:v>
                </c:pt>
                <c:pt idx="1">
                  <c:v>Total</c:v>
                </c:pt>
              </c:strCache>
            </c:strRef>
          </c:tx>
          <c:val>
            <c:numRef>
              <c:f>('State,UT'!$E$106,'State,UT'!$F$106)</c:f>
            </c:numRef>
          </c:val>
          <c:extLst>
            <c:ext xmlns:c16="http://schemas.microsoft.com/office/drawing/2014/chart" uri="{C3380CC4-5D6E-409C-BE32-E72D297353CC}">
              <c16:uniqueId val="{000000A8-6085-43A2-BDA0-32121D1BCF07}"/>
            </c:ext>
          </c:extLst>
        </c:ser>
        <c:ser>
          <c:idx val="165"/>
          <c:order val="165"/>
          <c:tx>
            <c:strRef>
              <c:f>'State,UT'!$E$1:$F$1</c:f>
              <c:strCache>
                <c:ptCount val="2"/>
                <c:pt idx="0">
                  <c:v>Growth Rate</c:v>
                </c:pt>
                <c:pt idx="1">
                  <c:v>Total</c:v>
                </c:pt>
              </c:strCache>
            </c:strRef>
          </c:tx>
          <c:val>
            <c:numRef>
              <c:f>('State,UT'!$E$117,'State,UT'!$F$117)</c:f>
            </c:numRef>
          </c:val>
          <c:extLst>
            <c:ext xmlns:c16="http://schemas.microsoft.com/office/drawing/2014/chart" uri="{C3380CC4-5D6E-409C-BE32-E72D297353CC}">
              <c16:uniqueId val="{000000A9-6085-43A2-BDA0-32121D1BCF07}"/>
            </c:ext>
          </c:extLst>
        </c:ser>
        <c:ser>
          <c:idx val="166"/>
          <c:order val="166"/>
          <c:tx>
            <c:strRef>
              <c:f>'State,UT'!$E$1:$F$1</c:f>
              <c:strCache>
                <c:ptCount val="2"/>
                <c:pt idx="0">
                  <c:v>Growth Rate</c:v>
                </c:pt>
                <c:pt idx="1">
                  <c:v>Total</c:v>
                </c:pt>
              </c:strCache>
            </c:strRef>
          </c:tx>
          <c:val>
            <c:numRef>
              <c:f>('State,UT'!$E$118,'State,UT'!$F$118)</c:f>
            </c:numRef>
          </c:val>
          <c:extLst>
            <c:ext xmlns:c16="http://schemas.microsoft.com/office/drawing/2014/chart" uri="{C3380CC4-5D6E-409C-BE32-E72D297353CC}">
              <c16:uniqueId val="{000000AA-6085-43A2-BDA0-32121D1BCF07}"/>
            </c:ext>
          </c:extLst>
        </c:ser>
        <c:ser>
          <c:idx val="167"/>
          <c:order val="167"/>
          <c:tx>
            <c:strRef>
              <c:f>'State,UT'!$E$1:$F$1</c:f>
              <c:strCache>
                <c:ptCount val="2"/>
                <c:pt idx="0">
                  <c:v>Growth Rate</c:v>
                </c:pt>
                <c:pt idx="1">
                  <c:v>Total</c:v>
                </c:pt>
              </c:strCache>
            </c:strRef>
          </c:tx>
          <c:val>
            <c:numRef>
              <c:f>('State,UT'!$E$119,'State,UT'!$F$119)</c:f>
            </c:numRef>
          </c:val>
          <c:extLst>
            <c:ext xmlns:c16="http://schemas.microsoft.com/office/drawing/2014/chart" uri="{C3380CC4-5D6E-409C-BE32-E72D297353CC}">
              <c16:uniqueId val="{000000AB-6085-43A2-BDA0-32121D1BCF07}"/>
            </c:ext>
          </c:extLst>
        </c:ser>
        <c:ser>
          <c:idx val="168"/>
          <c:order val="168"/>
          <c:tx>
            <c:strRef>
              <c:f>'State,UT'!$E$1:$F$1</c:f>
              <c:strCache>
                <c:ptCount val="2"/>
                <c:pt idx="0">
                  <c:v>Growth Rate</c:v>
                </c:pt>
                <c:pt idx="1">
                  <c:v>Total</c:v>
                </c:pt>
              </c:strCache>
            </c:strRef>
          </c:tx>
          <c:val>
            <c:numRef>
              <c:f>('State,UT'!$E$120,'State,UT'!$F$120)</c:f>
            </c:numRef>
          </c:val>
          <c:extLst>
            <c:ext xmlns:c16="http://schemas.microsoft.com/office/drawing/2014/chart" uri="{C3380CC4-5D6E-409C-BE32-E72D297353CC}">
              <c16:uniqueId val="{000000AC-6085-43A2-BDA0-32121D1BCF07}"/>
            </c:ext>
          </c:extLst>
        </c:ser>
        <c:ser>
          <c:idx val="169"/>
          <c:order val="169"/>
          <c:tx>
            <c:strRef>
              <c:f>'State,UT'!$E$1:$F$1</c:f>
              <c:strCache>
                <c:ptCount val="2"/>
                <c:pt idx="0">
                  <c:v>Growth Rate</c:v>
                </c:pt>
                <c:pt idx="1">
                  <c:v>Total</c:v>
                </c:pt>
              </c:strCache>
            </c:strRef>
          </c:tx>
          <c:val>
            <c:numRef>
              <c:f>('State,UT'!$E$121,'State,UT'!$F$121)</c:f>
            </c:numRef>
          </c:val>
          <c:extLst>
            <c:ext xmlns:c16="http://schemas.microsoft.com/office/drawing/2014/chart" uri="{C3380CC4-5D6E-409C-BE32-E72D297353CC}">
              <c16:uniqueId val="{000000AD-6085-43A2-BDA0-32121D1BCF07}"/>
            </c:ext>
          </c:extLst>
        </c:ser>
        <c:ser>
          <c:idx val="170"/>
          <c:order val="170"/>
          <c:tx>
            <c:strRef>
              <c:f>'State,UT'!$E$1:$F$1</c:f>
              <c:strCache>
                <c:ptCount val="2"/>
                <c:pt idx="0">
                  <c:v>Growth Rate</c:v>
                </c:pt>
                <c:pt idx="1">
                  <c:v>Total</c:v>
                </c:pt>
              </c:strCache>
            </c:strRef>
          </c:tx>
          <c:val>
            <c:numRef>
              <c:f>('State,UT'!$E$132,'State,UT'!$F$132)</c:f>
            </c:numRef>
          </c:val>
          <c:extLst>
            <c:ext xmlns:c16="http://schemas.microsoft.com/office/drawing/2014/chart" uri="{C3380CC4-5D6E-409C-BE32-E72D297353CC}">
              <c16:uniqueId val="{000000AE-6085-43A2-BDA0-32121D1BCF07}"/>
            </c:ext>
          </c:extLst>
        </c:ser>
        <c:ser>
          <c:idx val="171"/>
          <c:order val="171"/>
          <c:tx>
            <c:strRef>
              <c:f>'State,UT'!$E$1:$F$1</c:f>
              <c:strCache>
                <c:ptCount val="2"/>
                <c:pt idx="0">
                  <c:v>Growth Rate</c:v>
                </c:pt>
                <c:pt idx="1">
                  <c:v>Total</c:v>
                </c:pt>
              </c:strCache>
            </c:strRef>
          </c:tx>
          <c:val>
            <c:numRef>
              <c:f>('State,UT'!$E$133,'State,UT'!$F$133)</c:f>
            </c:numRef>
          </c:val>
          <c:extLst>
            <c:ext xmlns:c16="http://schemas.microsoft.com/office/drawing/2014/chart" uri="{C3380CC4-5D6E-409C-BE32-E72D297353CC}">
              <c16:uniqueId val="{000000AF-6085-43A2-BDA0-32121D1BCF07}"/>
            </c:ext>
          </c:extLst>
        </c:ser>
        <c:ser>
          <c:idx val="172"/>
          <c:order val="172"/>
          <c:tx>
            <c:strRef>
              <c:f>'State,UT'!$E$1:$F$1</c:f>
              <c:strCache>
                <c:ptCount val="2"/>
                <c:pt idx="0">
                  <c:v>Growth Rate</c:v>
                </c:pt>
                <c:pt idx="1">
                  <c:v>Total</c:v>
                </c:pt>
              </c:strCache>
            </c:strRef>
          </c:tx>
          <c:val>
            <c:numRef>
              <c:f>('State,UT'!$E$134,'State,UT'!$F$134)</c:f>
            </c:numRef>
          </c:val>
          <c:extLst>
            <c:ext xmlns:c16="http://schemas.microsoft.com/office/drawing/2014/chart" uri="{C3380CC4-5D6E-409C-BE32-E72D297353CC}">
              <c16:uniqueId val="{000000B0-6085-43A2-BDA0-32121D1BCF07}"/>
            </c:ext>
          </c:extLst>
        </c:ser>
        <c:ser>
          <c:idx val="173"/>
          <c:order val="173"/>
          <c:tx>
            <c:strRef>
              <c:f>'State,UT'!$E$1:$F$1</c:f>
              <c:strCache>
                <c:ptCount val="2"/>
                <c:pt idx="0">
                  <c:v>Growth Rate</c:v>
                </c:pt>
                <c:pt idx="1">
                  <c:v>Total</c:v>
                </c:pt>
              </c:strCache>
            </c:strRef>
          </c:tx>
          <c:val>
            <c:numRef>
              <c:f>('State,UT'!$E$135,'State,UT'!$F$135)</c:f>
            </c:numRef>
          </c:val>
          <c:extLst>
            <c:ext xmlns:c16="http://schemas.microsoft.com/office/drawing/2014/chart" uri="{C3380CC4-5D6E-409C-BE32-E72D297353CC}">
              <c16:uniqueId val="{000000B1-6085-43A2-BDA0-32121D1BCF07}"/>
            </c:ext>
          </c:extLst>
        </c:ser>
        <c:ser>
          <c:idx val="174"/>
          <c:order val="174"/>
          <c:tx>
            <c:strRef>
              <c:f>'State,UT'!$E$1:$F$1</c:f>
              <c:strCache>
                <c:ptCount val="2"/>
                <c:pt idx="0">
                  <c:v>Growth Rate</c:v>
                </c:pt>
                <c:pt idx="1">
                  <c:v>Total</c:v>
                </c:pt>
              </c:strCache>
            </c:strRef>
          </c:tx>
          <c:val>
            <c:numRef>
              <c:f>('State,UT'!$E$136,'State,UT'!$F$136)</c:f>
            </c:numRef>
          </c:val>
          <c:extLst>
            <c:ext xmlns:c16="http://schemas.microsoft.com/office/drawing/2014/chart" uri="{C3380CC4-5D6E-409C-BE32-E72D297353CC}">
              <c16:uniqueId val="{000000B2-6085-43A2-BDA0-32121D1BCF07}"/>
            </c:ext>
          </c:extLst>
        </c:ser>
        <c:ser>
          <c:idx val="175"/>
          <c:order val="175"/>
          <c:tx>
            <c:strRef>
              <c:f>'State,UT'!$E$1:$F$1</c:f>
              <c:strCache>
                <c:ptCount val="2"/>
                <c:pt idx="0">
                  <c:v>Growth Rate</c:v>
                </c:pt>
                <c:pt idx="1">
                  <c:v>Total</c:v>
                </c:pt>
              </c:strCache>
            </c:strRef>
          </c:tx>
          <c:val>
            <c:numRef>
              <c:f>('State,UT'!$E$147,'State,UT'!$F$147)</c:f>
            </c:numRef>
          </c:val>
          <c:extLst>
            <c:ext xmlns:c16="http://schemas.microsoft.com/office/drawing/2014/chart" uri="{C3380CC4-5D6E-409C-BE32-E72D297353CC}">
              <c16:uniqueId val="{000000B3-6085-43A2-BDA0-32121D1BCF07}"/>
            </c:ext>
          </c:extLst>
        </c:ser>
        <c:ser>
          <c:idx val="176"/>
          <c:order val="176"/>
          <c:tx>
            <c:strRef>
              <c:f>'State,UT'!$E$1:$F$1</c:f>
              <c:strCache>
                <c:ptCount val="2"/>
                <c:pt idx="0">
                  <c:v>Growth Rate</c:v>
                </c:pt>
                <c:pt idx="1">
                  <c:v>Total</c:v>
                </c:pt>
              </c:strCache>
            </c:strRef>
          </c:tx>
          <c:val>
            <c:numRef>
              <c:f>('State,UT'!$E$148,'State,UT'!$F$148)</c:f>
            </c:numRef>
          </c:val>
          <c:extLst>
            <c:ext xmlns:c16="http://schemas.microsoft.com/office/drawing/2014/chart" uri="{C3380CC4-5D6E-409C-BE32-E72D297353CC}">
              <c16:uniqueId val="{000000B4-6085-43A2-BDA0-32121D1BCF07}"/>
            </c:ext>
          </c:extLst>
        </c:ser>
        <c:ser>
          <c:idx val="177"/>
          <c:order val="177"/>
          <c:tx>
            <c:strRef>
              <c:f>'State,UT'!$E$1:$F$1</c:f>
              <c:strCache>
                <c:ptCount val="2"/>
                <c:pt idx="0">
                  <c:v>Growth Rate</c:v>
                </c:pt>
                <c:pt idx="1">
                  <c:v>Total</c:v>
                </c:pt>
              </c:strCache>
            </c:strRef>
          </c:tx>
          <c:val>
            <c:numRef>
              <c:f>('State,UT'!$E$149,'State,UT'!$F$149)</c:f>
            </c:numRef>
          </c:val>
          <c:extLst>
            <c:ext xmlns:c16="http://schemas.microsoft.com/office/drawing/2014/chart" uri="{C3380CC4-5D6E-409C-BE32-E72D297353CC}">
              <c16:uniqueId val="{000000B5-6085-43A2-BDA0-32121D1BCF07}"/>
            </c:ext>
          </c:extLst>
        </c:ser>
        <c:ser>
          <c:idx val="178"/>
          <c:order val="178"/>
          <c:tx>
            <c:strRef>
              <c:f>'State,UT'!$E$1:$F$1</c:f>
              <c:strCache>
                <c:ptCount val="2"/>
                <c:pt idx="0">
                  <c:v>Growth Rate</c:v>
                </c:pt>
                <c:pt idx="1">
                  <c:v>Total</c:v>
                </c:pt>
              </c:strCache>
            </c:strRef>
          </c:tx>
          <c:val>
            <c:numRef>
              <c:f>('State,UT'!$E$150,'State,UT'!$F$150)</c:f>
            </c:numRef>
          </c:val>
          <c:extLst>
            <c:ext xmlns:c16="http://schemas.microsoft.com/office/drawing/2014/chart" uri="{C3380CC4-5D6E-409C-BE32-E72D297353CC}">
              <c16:uniqueId val="{000000B6-6085-43A2-BDA0-32121D1BCF07}"/>
            </c:ext>
          </c:extLst>
        </c:ser>
        <c:ser>
          <c:idx val="179"/>
          <c:order val="179"/>
          <c:tx>
            <c:strRef>
              <c:f>'State,UT'!$E$1:$F$1</c:f>
              <c:strCache>
                <c:ptCount val="2"/>
                <c:pt idx="0">
                  <c:v>Growth Rate</c:v>
                </c:pt>
                <c:pt idx="1">
                  <c:v>Total</c:v>
                </c:pt>
              </c:strCache>
            </c:strRef>
          </c:tx>
          <c:val>
            <c:numRef>
              <c:f>('State,UT'!$E$151,'State,UT'!$F$151)</c:f>
            </c:numRef>
          </c:val>
          <c:extLst>
            <c:ext xmlns:c16="http://schemas.microsoft.com/office/drawing/2014/chart" uri="{C3380CC4-5D6E-409C-BE32-E72D297353CC}">
              <c16:uniqueId val="{000000B7-6085-43A2-BDA0-32121D1BCF07}"/>
            </c:ext>
          </c:extLst>
        </c:ser>
        <c:ser>
          <c:idx val="180"/>
          <c:order val="180"/>
          <c:tx>
            <c:strRef>
              <c:f>'State,UT'!$E$1:$F$1</c:f>
              <c:strCache>
                <c:ptCount val="2"/>
                <c:pt idx="0">
                  <c:v>Growth Rate</c:v>
                </c:pt>
                <c:pt idx="1">
                  <c:v>Total</c:v>
                </c:pt>
              </c:strCache>
            </c:strRef>
          </c:tx>
          <c:val>
            <c:numRef>
              <c:f>('State,UT'!$E$166,'State,UT'!$F$166)</c:f>
            </c:numRef>
          </c:val>
          <c:extLst>
            <c:ext xmlns:c16="http://schemas.microsoft.com/office/drawing/2014/chart" uri="{C3380CC4-5D6E-409C-BE32-E72D297353CC}">
              <c16:uniqueId val="{000000B8-6085-43A2-BDA0-32121D1BCF07}"/>
            </c:ext>
          </c:extLst>
        </c:ser>
        <c:ser>
          <c:idx val="181"/>
          <c:order val="181"/>
          <c:tx>
            <c:strRef>
              <c:f>'State,UT'!$E$1:$F$1</c:f>
              <c:strCache>
                <c:ptCount val="2"/>
                <c:pt idx="0">
                  <c:v>Growth Rate</c:v>
                </c:pt>
                <c:pt idx="1">
                  <c:v>Total</c:v>
                </c:pt>
              </c:strCache>
            </c:strRef>
          </c:tx>
          <c:val>
            <c:numRef>
              <c:f>('State,UT'!$E$165,'State,UT'!$F$165)</c:f>
            </c:numRef>
          </c:val>
          <c:extLst>
            <c:ext xmlns:c16="http://schemas.microsoft.com/office/drawing/2014/chart" uri="{C3380CC4-5D6E-409C-BE32-E72D297353CC}">
              <c16:uniqueId val="{000000B9-6085-43A2-BDA0-32121D1BCF07}"/>
            </c:ext>
          </c:extLst>
        </c:ser>
        <c:ser>
          <c:idx val="182"/>
          <c:order val="182"/>
          <c:tx>
            <c:strRef>
              <c:f>'State,UT'!$E$1:$F$1</c:f>
              <c:strCache>
                <c:ptCount val="2"/>
                <c:pt idx="0">
                  <c:v>Growth Rate</c:v>
                </c:pt>
                <c:pt idx="1">
                  <c:v>Total</c:v>
                </c:pt>
              </c:strCache>
            </c:strRef>
          </c:tx>
          <c:val>
            <c:numRef>
              <c:f>('State,UT'!$E$164,'State,UT'!$F$164)</c:f>
            </c:numRef>
          </c:val>
          <c:extLst>
            <c:ext xmlns:c16="http://schemas.microsoft.com/office/drawing/2014/chart" uri="{C3380CC4-5D6E-409C-BE32-E72D297353CC}">
              <c16:uniqueId val="{000000BA-6085-43A2-BDA0-32121D1BCF07}"/>
            </c:ext>
          </c:extLst>
        </c:ser>
        <c:ser>
          <c:idx val="183"/>
          <c:order val="183"/>
          <c:tx>
            <c:strRef>
              <c:f>'State,UT'!$E$1:$F$1</c:f>
              <c:strCache>
                <c:ptCount val="2"/>
                <c:pt idx="0">
                  <c:v>Growth Rate</c:v>
                </c:pt>
                <c:pt idx="1">
                  <c:v>Total</c:v>
                </c:pt>
              </c:strCache>
            </c:strRef>
          </c:tx>
          <c:val>
            <c:numRef>
              <c:f>('State,UT'!$E$163,'State,UT'!$F$163)</c:f>
            </c:numRef>
          </c:val>
          <c:extLst>
            <c:ext xmlns:c16="http://schemas.microsoft.com/office/drawing/2014/chart" uri="{C3380CC4-5D6E-409C-BE32-E72D297353CC}">
              <c16:uniqueId val="{000000BB-6085-43A2-BDA0-32121D1BCF07}"/>
            </c:ext>
          </c:extLst>
        </c:ser>
        <c:ser>
          <c:idx val="184"/>
          <c:order val="184"/>
          <c:tx>
            <c:strRef>
              <c:f>'State,UT'!$E$1:$F$1</c:f>
              <c:strCache>
                <c:ptCount val="2"/>
                <c:pt idx="0">
                  <c:v>Growth Rate</c:v>
                </c:pt>
                <c:pt idx="1">
                  <c:v>Total</c:v>
                </c:pt>
              </c:strCache>
            </c:strRef>
          </c:tx>
          <c:val>
            <c:numRef>
              <c:f>('State,UT'!$E$162,'State,UT'!$F$162)</c:f>
            </c:numRef>
          </c:val>
          <c:extLst>
            <c:ext xmlns:c16="http://schemas.microsoft.com/office/drawing/2014/chart" uri="{C3380CC4-5D6E-409C-BE32-E72D297353CC}">
              <c16:uniqueId val="{000000BC-6085-43A2-BDA0-32121D1BCF07}"/>
            </c:ext>
          </c:extLst>
        </c:ser>
        <c:ser>
          <c:idx val="185"/>
          <c:order val="185"/>
          <c:tx>
            <c:strRef>
              <c:f>'State,UT'!$E$1:$F$1</c:f>
              <c:strCache>
                <c:ptCount val="2"/>
                <c:pt idx="0">
                  <c:v>Growth Rate</c:v>
                </c:pt>
                <c:pt idx="1">
                  <c:v>Total</c:v>
                </c:pt>
              </c:strCache>
            </c:strRef>
          </c:tx>
          <c:val>
            <c:numRef>
              <c:f>('State,UT'!$E$177,'State,UT'!$F$177)</c:f>
            </c:numRef>
          </c:val>
          <c:extLst>
            <c:ext xmlns:c16="http://schemas.microsoft.com/office/drawing/2014/chart" uri="{C3380CC4-5D6E-409C-BE32-E72D297353CC}">
              <c16:uniqueId val="{000000BD-6085-43A2-BDA0-32121D1BCF07}"/>
            </c:ext>
          </c:extLst>
        </c:ser>
        <c:ser>
          <c:idx val="186"/>
          <c:order val="186"/>
          <c:tx>
            <c:strRef>
              <c:f>'State,UT'!$E$1:$F$1</c:f>
              <c:strCache>
                <c:ptCount val="2"/>
                <c:pt idx="0">
                  <c:v>Growth Rate</c:v>
                </c:pt>
                <c:pt idx="1">
                  <c:v>Total</c:v>
                </c:pt>
              </c:strCache>
            </c:strRef>
          </c:tx>
          <c:val>
            <c:numRef>
              <c:f>('State,UT'!$E$178,'State,UT'!$F$178)</c:f>
            </c:numRef>
          </c:val>
          <c:extLst>
            <c:ext xmlns:c16="http://schemas.microsoft.com/office/drawing/2014/chart" uri="{C3380CC4-5D6E-409C-BE32-E72D297353CC}">
              <c16:uniqueId val="{000000BE-6085-43A2-BDA0-32121D1BCF07}"/>
            </c:ext>
          </c:extLst>
        </c:ser>
        <c:ser>
          <c:idx val="187"/>
          <c:order val="187"/>
          <c:tx>
            <c:strRef>
              <c:f>'State,UT'!$E$1:$F$1</c:f>
              <c:strCache>
                <c:ptCount val="2"/>
                <c:pt idx="0">
                  <c:v>Growth Rate</c:v>
                </c:pt>
                <c:pt idx="1">
                  <c:v>Total</c:v>
                </c:pt>
              </c:strCache>
            </c:strRef>
          </c:tx>
          <c:val>
            <c:numRef>
              <c:f>('State,UT'!$E$179,'State,UT'!$F$179)</c:f>
            </c:numRef>
          </c:val>
          <c:extLst>
            <c:ext xmlns:c16="http://schemas.microsoft.com/office/drawing/2014/chart" uri="{C3380CC4-5D6E-409C-BE32-E72D297353CC}">
              <c16:uniqueId val="{000000BF-6085-43A2-BDA0-32121D1BCF07}"/>
            </c:ext>
          </c:extLst>
        </c:ser>
        <c:ser>
          <c:idx val="188"/>
          <c:order val="188"/>
          <c:tx>
            <c:strRef>
              <c:f>'State,UT'!$E$1:$F$1</c:f>
              <c:strCache>
                <c:ptCount val="2"/>
                <c:pt idx="0">
                  <c:v>Growth Rate</c:v>
                </c:pt>
                <c:pt idx="1">
                  <c:v>Total</c:v>
                </c:pt>
              </c:strCache>
            </c:strRef>
          </c:tx>
          <c:val>
            <c:numRef>
              <c:f>('State,UT'!$E$180,'State,UT'!$F$180)</c:f>
            </c:numRef>
          </c:val>
          <c:extLst>
            <c:ext xmlns:c16="http://schemas.microsoft.com/office/drawing/2014/chart" uri="{C3380CC4-5D6E-409C-BE32-E72D297353CC}">
              <c16:uniqueId val="{000000C0-6085-43A2-BDA0-32121D1BCF07}"/>
            </c:ext>
          </c:extLst>
        </c:ser>
        <c:ser>
          <c:idx val="189"/>
          <c:order val="189"/>
          <c:tx>
            <c:strRef>
              <c:f>'State,UT'!$E$1:$F$1</c:f>
              <c:strCache>
                <c:ptCount val="2"/>
                <c:pt idx="0">
                  <c:v>Growth Rate</c:v>
                </c:pt>
                <c:pt idx="1">
                  <c:v>Total</c:v>
                </c:pt>
              </c:strCache>
            </c:strRef>
          </c:tx>
          <c:val>
            <c:numRef>
              <c:f>('State,UT'!$E$181,'State,UT'!$F$181)</c:f>
            </c:numRef>
          </c:val>
          <c:extLst>
            <c:ext xmlns:c16="http://schemas.microsoft.com/office/drawing/2014/chart" uri="{C3380CC4-5D6E-409C-BE32-E72D297353CC}">
              <c16:uniqueId val="{000000C1-6085-43A2-BDA0-32121D1BCF07}"/>
            </c:ext>
          </c:extLst>
        </c:ser>
        <c:dLbls>
          <c:showLegendKey val="0"/>
          <c:showVal val="0"/>
          <c:showCatName val="0"/>
          <c:showSerName val="0"/>
          <c:showPercent val="0"/>
          <c:showBubbleSize val="0"/>
          <c:showLeaderLines val="0"/>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Table!PivotTable7</c:name>
    <c:fmtId val="13"/>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a:t>Total SUIcide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50000"/>
              <a:lumOff val="50000"/>
            </a:schemeClr>
          </a:solidFill>
          <a:ln>
            <a:solidFill>
              <a:schemeClr val="tx1"/>
            </a:solidFill>
          </a:ln>
          <a:effectLst>
            <a:innerShdw blurRad="114300">
              <a:schemeClr val="accent1"/>
            </a:inn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747948537920499E-2"/>
          <c:y val="0.10154146128075454"/>
          <c:w val="0.92551980175557769"/>
          <c:h val="0.50864711867520873"/>
        </c:manualLayout>
      </c:layout>
      <c:areaChart>
        <c:grouping val="standard"/>
        <c:varyColors val="0"/>
        <c:ser>
          <c:idx val="0"/>
          <c:order val="0"/>
          <c:tx>
            <c:strRef>
              <c:f>'Pivot Table'!$K$17</c:f>
              <c:strCache>
                <c:ptCount val="1"/>
                <c:pt idx="0">
                  <c:v>Total</c:v>
                </c:pt>
              </c:strCache>
            </c:strRef>
          </c:tx>
          <c:spPr>
            <a:solidFill>
              <a:schemeClr val="tx1">
                <a:lumMod val="50000"/>
                <a:lumOff val="50000"/>
              </a:schemeClr>
            </a:solidFill>
            <a:ln>
              <a:solidFill>
                <a:schemeClr val="tx1"/>
              </a:solidFill>
            </a:ln>
            <a:effectLst>
              <a:innerShdw blurRad="114300">
                <a:schemeClr val="accent1"/>
              </a:innerShdw>
            </a:effectLst>
            <a:scene3d>
              <a:camera prst="orthographicFront"/>
              <a:lightRig rig="threePt" dir="t"/>
            </a:scene3d>
            <a:sp3d>
              <a:bevelT w="190500" h="38100"/>
            </a:sp3d>
          </c:spPr>
          <c:cat>
            <c:strRef>
              <c:f>'Pivot Table'!$J$18:$J$55</c:f>
              <c:strCache>
                <c:ptCount val="37"/>
                <c:pt idx="0">
                  <c:v>Maharashtra</c:v>
                </c:pt>
                <c:pt idx="1">
                  <c:v>Tamil Nadu</c:v>
                </c:pt>
                <c:pt idx="2">
                  <c:v>Madhya Pradesh</c:v>
                </c:pt>
                <c:pt idx="3">
                  <c:v>Karnataka</c:v>
                </c:pt>
                <c:pt idx="4">
                  <c:v>West Bengal</c:v>
                </c:pt>
                <c:pt idx="5">
                  <c:v>Kerala</c:v>
                </c:pt>
                <c:pt idx="6">
                  <c:v>Telangana</c:v>
                </c:pt>
                <c:pt idx="7">
                  <c:v>Gujarat</c:v>
                </c:pt>
                <c:pt idx="8">
                  <c:v>Andhra Pradesh</c:v>
                </c:pt>
                <c:pt idx="9">
                  <c:v>Chhattisgarh</c:v>
                </c:pt>
                <c:pt idx="10">
                  <c:v>Uttar Pradesh</c:v>
                </c:pt>
                <c:pt idx="11">
                  <c:v>Odisha</c:v>
                </c:pt>
                <c:pt idx="12">
                  <c:v>Rajasthan</c:v>
                </c:pt>
                <c:pt idx="13">
                  <c:v>Haryana</c:v>
                </c:pt>
                <c:pt idx="14">
                  <c:v>Delhi</c:v>
                </c:pt>
                <c:pt idx="15">
                  <c:v>Assam</c:v>
                </c:pt>
                <c:pt idx="16">
                  <c:v>Punjab</c:v>
                </c:pt>
                <c:pt idx="17">
                  <c:v>Jharkhand</c:v>
                </c:pt>
                <c:pt idx="18">
                  <c:v>Uttarakhand</c:v>
                </c:pt>
                <c:pt idx="19">
                  <c:v>Tripura</c:v>
                </c:pt>
                <c:pt idx="20">
                  <c:v>Bihar</c:v>
                </c:pt>
                <c:pt idx="21">
                  <c:v>Himachal Pradesh</c:v>
                </c:pt>
                <c:pt idx="22">
                  <c:v>Puducherry</c:v>
                </c:pt>
                <c:pt idx="23">
                  <c:v>Jammu and Kashmir</c:v>
                </c:pt>
                <c:pt idx="24">
                  <c:v>Goa</c:v>
                </c:pt>
                <c:pt idx="25">
                  <c:v>Sikkim</c:v>
                </c:pt>
                <c:pt idx="26">
                  <c:v>Meghalaya</c:v>
                </c:pt>
                <c:pt idx="27">
                  <c:v>Andaman and Nicobar</c:v>
                </c:pt>
                <c:pt idx="28">
                  <c:v>Mizoram</c:v>
                </c:pt>
                <c:pt idx="29">
                  <c:v>Arunachal Pradesh</c:v>
                </c:pt>
                <c:pt idx="30">
                  <c:v>Chandigarh</c:v>
                </c:pt>
                <c:pt idx="31">
                  <c:v>Dadra and Nagar Haveli</c:v>
                </c:pt>
                <c:pt idx="32">
                  <c:v>Daman and Diu</c:v>
                </c:pt>
                <c:pt idx="33">
                  <c:v>Nagaland</c:v>
                </c:pt>
                <c:pt idx="34">
                  <c:v>Manipur</c:v>
                </c:pt>
                <c:pt idx="35">
                  <c:v>Ladakh</c:v>
                </c:pt>
                <c:pt idx="36">
                  <c:v>Lakshadweep</c:v>
                </c:pt>
              </c:strCache>
            </c:strRef>
          </c:cat>
          <c:val>
            <c:numRef>
              <c:f>'Pivot Table'!$K$18:$K$55</c:f>
              <c:numCache>
                <c:formatCode>General</c:formatCode>
                <c:ptCount val="37"/>
                <c:pt idx="0">
                  <c:v>113730</c:v>
                </c:pt>
                <c:pt idx="1">
                  <c:v>99170</c:v>
                </c:pt>
                <c:pt idx="2">
                  <c:v>76930</c:v>
                </c:pt>
                <c:pt idx="3">
                  <c:v>68030</c:v>
                </c:pt>
                <c:pt idx="4">
                  <c:v>63345</c:v>
                </c:pt>
                <c:pt idx="5">
                  <c:v>50810</c:v>
                </c:pt>
                <c:pt idx="6">
                  <c:v>49900</c:v>
                </c:pt>
                <c:pt idx="7">
                  <c:v>45010</c:v>
                </c:pt>
                <c:pt idx="8">
                  <c:v>44540</c:v>
                </c:pt>
                <c:pt idx="9">
                  <c:v>42230</c:v>
                </c:pt>
                <c:pt idx="10">
                  <c:v>40880</c:v>
                </c:pt>
                <c:pt idx="11">
                  <c:v>30700</c:v>
                </c:pt>
                <c:pt idx="12">
                  <c:v>26715</c:v>
                </c:pt>
                <c:pt idx="13">
                  <c:v>18915</c:v>
                </c:pt>
                <c:pt idx="14">
                  <c:v>17085</c:v>
                </c:pt>
                <c:pt idx="15">
                  <c:v>16600</c:v>
                </c:pt>
                <c:pt idx="16">
                  <c:v>12205</c:v>
                </c:pt>
                <c:pt idx="17">
                  <c:v>10905</c:v>
                </c:pt>
                <c:pt idx="18">
                  <c:v>4070</c:v>
                </c:pt>
                <c:pt idx="19">
                  <c:v>3565</c:v>
                </c:pt>
                <c:pt idx="20">
                  <c:v>3510</c:v>
                </c:pt>
                <c:pt idx="21">
                  <c:v>3220</c:v>
                </c:pt>
                <c:pt idx="22">
                  <c:v>2405</c:v>
                </c:pt>
                <c:pt idx="23">
                  <c:v>1615</c:v>
                </c:pt>
                <c:pt idx="24">
                  <c:v>1510</c:v>
                </c:pt>
                <c:pt idx="25">
                  <c:v>1465</c:v>
                </c:pt>
                <c:pt idx="26">
                  <c:v>1065</c:v>
                </c:pt>
                <c:pt idx="27">
                  <c:v>855</c:v>
                </c:pt>
                <c:pt idx="28">
                  <c:v>765</c:v>
                </c:pt>
                <c:pt idx="29">
                  <c:v>745</c:v>
                </c:pt>
                <c:pt idx="30">
                  <c:v>655</c:v>
                </c:pt>
                <c:pt idx="31">
                  <c:v>515</c:v>
                </c:pt>
                <c:pt idx="32">
                  <c:v>510</c:v>
                </c:pt>
                <c:pt idx="33">
                  <c:v>245</c:v>
                </c:pt>
                <c:pt idx="34">
                  <c:v>130</c:v>
                </c:pt>
                <c:pt idx="35">
                  <c:v>65</c:v>
                </c:pt>
                <c:pt idx="36">
                  <c:v>10</c:v>
                </c:pt>
              </c:numCache>
            </c:numRef>
          </c:val>
          <c:extLst>
            <c:ext xmlns:c16="http://schemas.microsoft.com/office/drawing/2014/chart" uri="{C3380CC4-5D6E-409C-BE32-E72D297353CC}">
              <c16:uniqueId val="{00000000-73FE-4278-94F9-C96455AABF58}"/>
            </c:ext>
          </c:extLst>
        </c:ser>
        <c:dLbls>
          <c:showLegendKey val="0"/>
          <c:showVal val="0"/>
          <c:showCatName val="0"/>
          <c:showSerName val="0"/>
          <c:showPercent val="0"/>
          <c:showBubbleSize val="0"/>
        </c:dLbls>
        <c:axId val="1655540015"/>
        <c:axId val="1655560655"/>
      </c:areaChart>
      <c:catAx>
        <c:axId val="1655540015"/>
        <c:scaling>
          <c:orientation val="minMax"/>
        </c:scaling>
        <c:delete val="0"/>
        <c:axPos val="b"/>
        <c:numFmt formatCode="General" sourceLinked="1"/>
        <c:majorTickMark val="out"/>
        <c:minorTickMark val="out"/>
        <c:tickLblPos val="nextTo"/>
        <c:spPr>
          <a:noFill/>
          <a:ln>
            <a:noFill/>
          </a:ln>
          <a:effectLst/>
        </c:spPr>
        <c:txPr>
          <a:bodyPr rot="-60000000" spcFirstLastPara="1" vertOverflow="ellipsis" vert="horz" wrap="square" anchor="ctr" anchorCtr="1"/>
          <a:lstStyle/>
          <a:p>
            <a:pPr>
              <a:defRPr sz="900" b="0" i="0" u="none" strike="noStrike" kern="1200" cap="all" spc="120" normalizeH="0" baseline="0">
                <a:solidFill>
                  <a:schemeClr val="tx1"/>
                </a:solidFill>
                <a:latin typeface="+mn-lt"/>
                <a:ea typeface="+mn-ea"/>
                <a:cs typeface="+mn-cs"/>
              </a:defRPr>
            </a:pPr>
            <a:endParaRPr lang="en-US"/>
          </a:p>
        </c:txPr>
        <c:crossAx val="1655560655"/>
        <c:crosses val="autoZero"/>
        <c:auto val="1"/>
        <c:lblAlgn val="ctr"/>
        <c:lblOffset val="100"/>
        <c:noMultiLvlLbl val="0"/>
      </c:catAx>
      <c:valAx>
        <c:axId val="165556065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5554001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Table!PivotTable2</c:name>
    <c:fmtId val="12"/>
  </c:pivotSource>
  <c:chart>
    <c:title>
      <c:tx>
        <c:rich>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r>
              <a:rPr lang="en-IN" sz="1600" b="1"/>
              <a:t>CAUSES</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50000"/>
              <a:lumOff val="50000"/>
            </a:schemeClr>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324962011327529"/>
          <c:y val="6.7606647685682669E-2"/>
          <c:w val="0.63300041442188149"/>
          <c:h val="0.86861754461647656"/>
        </c:manualLayout>
      </c:layout>
      <c:barChart>
        <c:barDir val="bar"/>
        <c:grouping val="stacked"/>
        <c:varyColors val="0"/>
        <c:ser>
          <c:idx val="0"/>
          <c:order val="0"/>
          <c:tx>
            <c:strRef>
              <c:f>'Pivot Table'!$E$4</c:f>
              <c:strCache>
                <c:ptCount val="1"/>
                <c:pt idx="0">
                  <c:v>Total</c:v>
                </c:pt>
              </c:strCache>
            </c:strRef>
          </c:tx>
          <c:spPr>
            <a:solidFill>
              <a:schemeClr val="tx1">
                <a:lumMod val="50000"/>
                <a:lumOff val="50000"/>
              </a:schemeClr>
            </a:solidFill>
            <a:ln>
              <a:noFill/>
            </a:ln>
            <a:effectLst/>
            <a:scene3d>
              <a:camera prst="orthographicFront"/>
              <a:lightRig rig="threePt" dir="t"/>
            </a:scene3d>
            <a:sp3d>
              <a:bevelT w="190500" h="38100"/>
            </a:sp3d>
          </c:spPr>
          <c:invertIfNegative val="0"/>
          <c:cat>
            <c:strRef>
              <c:f>'Pivot Table'!$D$5:$D$25</c:f>
              <c:strCache>
                <c:ptCount val="20"/>
                <c:pt idx="0">
                  <c:v>Illegitimate Pregnancy</c:v>
                </c:pt>
                <c:pt idx="1">
                  <c:v>Physical Abuse (Rape)</c:v>
                </c:pt>
                <c:pt idx="2">
                  <c:v>Ideological Causes/Hero Worshipping</c:v>
                </c:pt>
                <c:pt idx="3">
                  <c:v>Impotency/Infertility</c:v>
                </c:pt>
                <c:pt idx="4">
                  <c:v>Divorce</c:v>
                </c:pt>
                <c:pt idx="5">
                  <c:v>Fall in Social Reputation</c:v>
                </c:pt>
                <c:pt idx="6">
                  <c:v>Extra Marital affairs</c:v>
                </c:pt>
                <c:pt idx="7">
                  <c:v>Poverty</c:v>
                </c:pt>
                <c:pt idx="8">
                  <c:v>Dowry Related Issues</c:v>
                </c:pt>
                <c:pt idx="9">
                  <c:v>Property Dispute</c:v>
                </c:pt>
                <c:pt idx="10">
                  <c:v>Death of Dear Person</c:v>
                </c:pt>
                <c:pt idx="11">
                  <c:v>Failure in Examination</c:v>
                </c:pt>
                <c:pt idx="12">
                  <c:v>Unemployment</c:v>
                </c:pt>
                <c:pt idx="13">
                  <c:v>Marriage Issues</c:v>
                </c:pt>
                <c:pt idx="14">
                  <c:v>Love Affairs</c:v>
                </c:pt>
                <c:pt idx="15">
                  <c:v>Professional/Career Problem</c:v>
                </c:pt>
                <c:pt idx="16">
                  <c:v>Drug Abuse/Alcoholic Addiction</c:v>
                </c:pt>
                <c:pt idx="17">
                  <c:v>Illness</c:v>
                </c:pt>
                <c:pt idx="18">
                  <c:v>Other Causes</c:v>
                </c:pt>
                <c:pt idx="19">
                  <c:v>Family Problems</c:v>
                </c:pt>
              </c:strCache>
            </c:strRef>
          </c:cat>
          <c:val>
            <c:numRef>
              <c:f>'Pivot Table'!$E$5:$E$25</c:f>
              <c:numCache>
                <c:formatCode>General</c:formatCode>
                <c:ptCount val="20"/>
                <c:pt idx="0">
                  <c:v>30</c:v>
                </c:pt>
                <c:pt idx="1">
                  <c:v>38</c:v>
                </c:pt>
                <c:pt idx="2">
                  <c:v>174</c:v>
                </c:pt>
                <c:pt idx="3">
                  <c:v>376</c:v>
                </c:pt>
                <c:pt idx="4">
                  <c:v>580</c:v>
                </c:pt>
                <c:pt idx="5">
                  <c:v>891</c:v>
                </c:pt>
                <c:pt idx="6">
                  <c:v>1417</c:v>
                </c:pt>
                <c:pt idx="7">
                  <c:v>1458</c:v>
                </c:pt>
                <c:pt idx="8">
                  <c:v>1775</c:v>
                </c:pt>
                <c:pt idx="9">
                  <c:v>1829</c:v>
                </c:pt>
                <c:pt idx="10">
                  <c:v>2078</c:v>
                </c:pt>
                <c:pt idx="11">
                  <c:v>2093</c:v>
                </c:pt>
                <c:pt idx="12">
                  <c:v>3170</c:v>
                </c:pt>
                <c:pt idx="13">
                  <c:v>5263</c:v>
                </c:pt>
                <c:pt idx="14">
                  <c:v>7650</c:v>
                </c:pt>
                <c:pt idx="15">
                  <c:v>9119</c:v>
                </c:pt>
                <c:pt idx="16">
                  <c:v>11626</c:v>
                </c:pt>
                <c:pt idx="17">
                  <c:v>31469</c:v>
                </c:pt>
                <c:pt idx="18">
                  <c:v>35766</c:v>
                </c:pt>
                <c:pt idx="19">
                  <c:v>54122</c:v>
                </c:pt>
              </c:numCache>
            </c:numRef>
          </c:val>
          <c:extLst>
            <c:ext xmlns:c16="http://schemas.microsoft.com/office/drawing/2014/chart" uri="{C3380CC4-5D6E-409C-BE32-E72D297353CC}">
              <c16:uniqueId val="{00000000-47B5-47D2-AA61-D42581CEDF19}"/>
            </c:ext>
          </c:extLst>
        </c:ser>
        <c:dLbls>
          <c:showLegendKey val="0"/>
          <c:showVal val="0"/>
          <c:showCatName val="0"/>
          <c:showSerName val="0"/>
          <c:showPercent val="0"/>
          <c:showBubbleSize val="0"/>
        </c:dLbls>
        <c:gapWidth val="150"/>
        <c:overlap val="100"/>
        <c:axId val="783917616"/>
        <c:axId val="783920016"/>
      </c:barChart>
      <c:catAx>
        <c:axId val="7839176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83920016"/>
        <c:crosses val="autoZero"/>
        <c:auto val="1"/>
        <c:lblAlgn val="ctr"/>
        <c:lblOffset val="100"/>
        <c:noMultiLvlLbl val="0"/>
      </c:catAx>
      <c:valAx>
        <c:axId val="78392001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783917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txPr>
    <a:bodyPr/>
    <a:lstStyle/>
    <a:p>
      <a:pPr>
        <a:defRPr sz="1100">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Table!PivotTable6</c:name>
    <c:fmtId val="1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90000"/>
            </a:schemeClr>
          </a:solidFill>
          <a:ln w="19050">
            <a:solidFill>
              <a:schemeClr val="lt1"/>
            </a:solidFill>
          </a:ln>
          <a:effectLst/>
        </c:spPr>
      </c:pivotFmt>
      <c:pivotFmt>
        <c:idx val="2"/>
        <c:spPr>
          <a:solidFill>
            <a:schemeClr val="tx1">
              <a:lumMod val="50000"/>
              <a:lumOff val="50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50000"/>
              <a:lumOff val="50000"/>
            </a:schemeClr>
          </a:solidFill>
          <a:ln w="19050">
            <a:solidFill>
              <a:schemeClr val="lt1"/>
            </a:solidFill>
          </a:ln>
          <a:effectLst/>
        </c:spPr>
      </c:pivotFmt>
      <c:pivotFmt>
        <c:idx val="5"/>
        <c:spPr>
          <a:solidFill>
            <a:schemeClr val="bg2">
              <a:lumMod val="90000"/>
            </a:schemeClr>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bg2">
              <a:lumMod val="9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lumMod val="50000"/>
              <a:lumOff val="50000"/>
            </a:schemeClr>
          </a:solidFill>
          <a:ln w="19050">
            <a:solidFill>
              <a:schemeClr val="lt1"/>
            </a:solidFill>
          </a:ln>
          <a:effectLst/>
        </c:spPr>
      </c:pivotFmt>
      <c:pivotFmt>
        <c:idx val="9"/>
        <c:spPr>
          <a:solidFill>
            <a:schemeClr val="bg2">
              <a:lumMod val="90000"/>
            </a:schemeClr>
          </a:solidFill>
          <a:ln w="19050">
            <a:solidFill>
              <a:schemeClr val="lt1"/>
            </a:solidFill>
          </a:ln>
          <a:effectLst/>
        </c:spPr>
      </c:pivotFmt>
      <c:pivotFmt>
        <c:idx val="10"/>
        <c:spPr>
          <a:solidFill>
            <a:schemeClr val="bg2">
              <a:lumMod val="90000"/>
            </a:schemeClr>
          </a:solidFill>
          <a:ln w="19050">
            <a:solidFill>
              <a:schemeClr val="lt1"/>
            </a:solidFill>
          </a:ln>
          <a:effectLst/>
        </c:spPr>
      </c:pivotFmt>
    </c:pivotFmts>
    <c:plotArea>
      <c:layout>
        <c:manualLayout>
          <c:layoutTarget val="inner"/>
          <c:xMode val="edge"/>
          <c:yMode val="edge"/>
          <c:x val="6.8487614923340726E-2"/>
          <c:y val="0"/>
          <c:w val="0.93005281065241141"/>
          <c:h val="1"/>
        </c:manualLayout>
      </c:layout>
      <c:doughnutChart>
        <c:varyColors val="1"/>
        <c:ser>
          <c:idx val="0"/>
          <c:order val="0"/>
          <c:tx>
            <c:strRef>
              <c:f>'Pivot Table'!$B$22</c:f>
              <c:strCache>
                <c:ptCount val="1"/>
                <c:pt idx="0">
                  <c:v>Total</c:v>
                </c:pt>
              </c:strCache>
            </c:strRef>
          </c:tx>
          <c:spPr>
            <a:solidFill>
              <a:schemeClr val="bg2">
                <a:lumMod val="90000"/>
              </a:schemeClr>
            </a:solidFill>
          </c:spPr>
          <c:dPt>
            <c:idx val="0"/>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1-61AD-4962-85AF-593D67D9FE8F}"/>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61AD-4962-85AF-593D67D9FE8F}"/>
              </c:ext>
            </c:extLst>
          </c:dPt>
          <c:dPt>
            <c:idx val="2"/>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5-61AD-4962-85AF-593D67D9FE8F}"/>
              </c:ext>
            </c:extLst>
          </c:dPt>
          <c:cat>
            <c:strRef>
              <c:f>'Pivot Table'!$A$23:$A$26</c:f>
              <c:strCache>
                <c:ptCount val="3"/>
                <c:pt idx="0">
                  <c:v>Female</c:v>
                </c:pt>
                <c:pt idx="1">
                  <c:v>Male</c:v>
                </c:pt>
                <c:pt idx="2">
                  <c:v>Transgender</c:v>
                </c:pt>
              </c:strCache>
            </c:strRef>
          </c:cat>
          <c:val>
            <c:numRef>
              <c:f>'Pivot Table'!$B$23:$B$26</c:f>
              <c:numCache>
                <c:formatCode>General</c:formatCode>
                <c:ptCount val="3"/>
                <c:pt idx="0">
                  <c:v>48191</c:v>
                </c:pt>
                <c:pt idx="1">
                  <c:v>122705</c:v>
                </c:pt>
                <c:pt idx="2">
                  <c:v>28</c:v>
                </c:pt>
              </c:numCache>
            </c:numRef>
          </c:val>
          <c:extLst>
            <c:ext xmlns:c16="http://schemas.microsoft.com/office/drawing/2014/chart" uri="{C3380CC4-5D6E-409C-BE32-E72D297353CC}">
              <c16:uniqueId val="{00000006-61AD-4962-85AF-593D67D9FE8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Table!PivotTable6</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w="19050">
            <a:solidFill>
              <a:schemeClr val="lt1"/>
            </a:solidFill>
          </a:ln>
          <a:effectLst/>
        </c:spPr>
      </c:pivotFmt>
      <c:pivotFmt>
        <c:idx val="7"/>
        <c:spPr>
          <a:solidFill>
            <a:schemeClr val="tx1">
              <a:lumMod val="50000"/>
              <a:lumOff val="50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2">
              <a:lumMod val="90000"/>
            </a:schemeClr>
          </a:solidFill>
          <a:ln w="19050">
            <a:solidFill>
              <a:schemeClr val="lt1"/>
            </a:solidFill>
          </a:ln>
          <a:effectLst/>
        </c:spPr>
      </c:pivotFmt>
      <c:pivotFmt>
        <c:idx val="11"/>
        <c:spPr>
          <a:solidFill>
            <a:schemeClr val="tx1">
              <a:lumMod val="50000"/>
              <a:lumOff val="50000"/>
            </a:schemeClr>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bg2">
              <a:lumMod val="9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2">
              <a:lumMod val="90000"/>
            </a:schemeClr>
          </a:solidFill>
          <a:ln w="19050">
            <a:solidFill>
              <a:schemeClr val="lt1"/>
            </a:solidFill>
          </a:ln>
          <a:effectLst/>
        </c:spPr>
      </c:pivotFmt>
      <c:pivotFmt>
        <c:idx val="15"/>
        <c:spPr>
          <a:solidFill>
            <a:schemeClr val="tx1">
              <a:lumMod val="50000"/>
              <a:lumOff val="50000"/>
            </a:schemeClr>
          </a:solidFill>
          <a:ln w="19050">
            <a:solidFill>
              <a:schemeClr val="lt1"/>
            </a:solidFill>
          </a:ln>
          <a:effectLst/>
        </c:spPr>
      </c:pivotFmt>
      <c:pivotFmt>
        <c:idx val="16"/>
        <c:spPr>
          <a:solidFill>
            <a:schemeClr val="bg2">
              <a:lumMod val="90000"/>
            </a:schemeClr>
          </a:solidFill>
          <a:ln w="19050">
            <a:solidFill>
              <a:schemeClr val="lt1"/>
            </a:solidFill>
          </a:ln>
          <a:effectLst/>
        </c:spPr>
      </c:pivotFmt>
    </c:pivotFmts>
    <c:plotArea>
      <c:layout>
        <c:manualLayout>
          <c:layoutTarget val="inner"/>
          <c:xMode val="edge"/>
          <c:yMode val="edge"/>
          <c:x val="1.0965059055118111E-2"/>
          <c:y val="4.8676657353314704E-3"/>
          <c:w val="0.97383316929133856"/>
          <c:h val="0.99513233426466852"/>
        </c:manualLayout>
      </c:layout>
      <c:doughnutChart>
        <c:varyColors val="1"/>
        <c:ser>
          <c:idx val="0"/>
          <c:order val="0"/>
          <c:tx>
            <c:strRef>
              <c:f>'Pivot Table'!$B$22</c:f>
              <c:strCache>
                <c:ptCount val="1"/>
                <c:pt idx="0">
                  <c:v>Total</c:v>
                </c:pt>
              </c:strCache>
            </c:strRef>
          </c:tx>
          <c:spPr>
            <a:solidFill>
              <a:schemeClr val="bg2">
                <a:lumMod val="90000"/>
              </a:schemeClr>
            </a:solidFill>
          </c:spPr>
          <c:dPt>
            <c:idx val="0"/>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1-7883-4280-A1DF-627FD940D17F}"/>
              </c:ext>
            </c:extLst>
          </c:dPt>
          <c:dPt>
            <c:idx val="1"/>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3-7883-4280-A1DF-627FD940D17F}"/>
              </c:ext>
            </c:extLst>
          </c:dPt>
          <c:dPt>
            <c:idx val="2"/>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5-7883-4280-A1DF-627FD940D17F}"/>
              </c:ext>
            </c:extLst>
          </c:dPt>
          <c:cat>
            <c:strRef>
              <c:f>'Pivot Table'!$A$23:$A$26</c:f>
              <c:strCache>
                <c:ptCount val="3"/>
                <c:pt idx="0">
                  <c:v>Female</c:v>
                </c:pt>
                <c:pt idx="1">
                  <c:v>Male</c:v>
                </c:pt>
                <c:pt idx="2">
                  <c:v>Transgender</c:v>
                </c:pt>
              </c:strCache>
            </c:strRef>
          </c:cat>
          <c:val>
            <c:numRef>
              <c:f>'Pivot Table'!$B$23:$B$26</c:f>
              <c:numCache>
                <c:formatCode>General</c:formatCode>
                <c:ptCount val="3"/>
                <c:pt idx="0">
                  <c:v>48191</c:v>
                </c:pt>
                <c:pt idx="1">
                  <c:v>122705</c:v>
                </c:pt>
                <c:pt idx="2">
                  <c:v>28</c:v>
                </c:pt>
              </c:numCache>
            </c:numRef>
          </c:val>
          <c:extLst>
            <c:ext xmlns:c16="http://schemas.microsoft.com/office/drawing/2014/chart" uri="{C3380CC4-5D6E-409C-BE32-E72D297353CC}">
              <c16:uniqueId val="{00000006-7883-4280-A1DF-627FD940D17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[Suicide Dashboard.xlsm]Pivot Table!PivotTable1</c:name>
    <c:fmtId val="4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MODE</a:t>
            </a:r>
            <a:r>
              <a:rPr lang="en-US" baseline="0"/>
              <a:t> OR METHODS</a:t>
            </a:r>
            <a:endParaRPr lang="en-US"/>
          </a:p>
        </c:rich>
      </c:tx>
      <c:layout>
        <c:manualLayout>
          <c:xMode val="edge"/>
          <c:yMode val="edge"/>
          <c:x val="0.67195915005305185"/>
          <c:y val="3.29218106995884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7"/>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1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7"/>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pivotFmt>
      <c:pivotFmt>
        <c:idx val="2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3">
                  <a:tint val="93000"/>
                  <a:satMod val="103000"/>
                  <a:lumMod val="102000"/>
                  <a:tint val="94000"/>
                </a:schemeClr>
              </a:gs>
              <a:gs pos="50000">
                <a:schemeClr val="accent3">
                  <a:tint val="93000"/>
                  <a:satMod val="110000"/>
                  <a:lumMod val="100000"/>
                  <a:shade val="100000"/>
                </a:schemeClr>
              </a:gs>
              <a:gs pos="100000">
                <a:schemeClr val="accent3">
                  <a:tint val="93000"/>
                  <a:lumMod val="99000"/>
                  <a:satMod val="120000"/>
                  <a:shade val="78000"/>
                </a:schemeClr>
              </a:gs>
            </a:gsLst>
            <a:lin ang="5400000" scaled="0"/>
          </a:gradFill>
          <a:ln>
            <a:solidFill>
              <a:schemeClr val="bg1"/>
            </a:solidFill>
          </a:ln>
          <a:effectLst/>
        </c:spPr>
      </c:pivotFmt>
      <c:pivotFmt>
        <c:idx val="30"/>
        <c:spPr>
          <a:gradFill rotWithShape="1">
            <a:gsLst>
              <a:gs pos="0">
                <a:schemeClr val="accent3">
                  <a:shade val="76000"/>
                  <a:satMod val="103000"/>
                  <a:lumMod val="102000"/>
                  <a:tint val="94000"/>
                </a:schemeClr>
              </a:gs>
              <a:gs pos="50000">
                <a:schemeClr val="accent3">
                  <a:shade val="76000"/>
                  <a:satMod val="110000"/>
                  <a:lumMod val="100000"/>
                  <a:shade val="100000"/>
                </a:schemeClr>
              </a:gs>
              <a:gs pos="100000">
                <a:schemeClr val="accent3">
                  <a:shade val="76000"/>
                  <a:lumMod val="99000"/>
                  <a:satMod val="120000"/>
                  <a:shade val="78000"/>
                </a:schemeClr>
              </a:gs>
            </a:gsLst>
            <a:lin ang="5400000" scaled="0"/>
          </a:gradFill>
          <a:ln>
            <a:solidFill>
              <a:schemeClr val="bg1"/>
            </a:solidFill>
          </a:ln>
          <a:effectLst/>
        </c:spPr>
      </c:pivotFmt>
      <c:pivotFmt>
        <c:idx val="31"/>
        <c:spPr>
          <a:gradFill rotWithShape="1">
            <a:gsLst>
              <a:gs pos="0">
                <a:schemeClr val="accent3">
                  <a:shade val="45000"/>
                  <a:satMod val="103000"/>
                  <a:lumMod val="102000"/>
                  <a:tint val="94000"/>
                </a:schemeClr>
              </a:gs>
              <a:gs pos="50000">
                <a:schemeClr val="accent3">
                  <a:shade val="45000"/>
                  <a:satMod val="110000"/>
                  <a:lumMod val="100000"/>
                  <a:shade val="100000"/>
                </a:schemeClr>
              </a:gs>
              <a:gs pos="100000">
                <a:schemeClr val="accent3">
                  <a:shade val="45000"/>
                  <a:lumMod val="99000"/>
                  <a:satMod val="120000"/>
                  <a:shade val="78000"/>
                </a:schemeClr>
              </a:gs>
            </a:gsLst>
            <a:lin ang="5400000" scaled="0"/>
          </a:gradFill>
          <a:ln>
            <a:solidFill>
              <a:schemeClr val="bg1"/>
            </a:solidFill>
          </a:ln>
          <a:effectLst/>
        </c:spPr>
      </c:pivotFmt>
      <c:pivotFmt>
        <c:idx val="32"/>
        <c:spPr>
          <a:gradFill rotWithShape="1">
            <a:gsLst>
              <a:gs pos="0">
                <a:schemeClr val="accent3">
                  <a:shade val="92000"/>
                  <a:satMod val="103000"/>
                  <a:lumMod val="102000"/>
                  <a:tint val="94000"/>
                </a:schemeClr>
              </a:gs>
              <a:gs pos="50000">
                <a:schemeClr val="accent3">
                  <a:shade val="92000"/>
                  <a:satMod val="110000"/>
                  <a:lumMod val="100000"/>
                  <a:shade val="100000"/>
                </a:schemeClr>
              </a:gs>
              <a:gs pos="100000">
                <a:schemeClr val="accent3">
                  <a:shade val="92000"/>
                  <a:lumMod val="99000"/>
                  <a:satMod val="120000"/>
                  <a:shade val="78000"/>
                </a:schemeClr>
              </a:gs>
            </a:gsLst>
            <a:lin ang="5400000" scaled="0"/>
          </a:gradFill>
          <a:ln>
            <a:solidFill>
              <a:schemeClr val="bg1"/>
            </a:solidFill>
          </a:ln>
          <a:effectLst/>
        </c:spPr>
      </c:pivotFmt>
      <c:pivotFmt>
        <c:idx val="33"/>
        <c:spPr>
          <a:gradFill rotWithShape="1">
            <a:gsLst>
              <a:gs pos="0">
                <a:schemeClr val="accent3">
                  <a:shade val="61000"/>
                  <a:satMod val="103000"/>
                  <a:lumMod val="102000"/>
                  <a:tint val="94000"/>
                </a:schemeClr>
              </a:gs>
              <a:gs pos="50000">
                <a:schemeClr val="accent3">
                  <a:shade val="61000"/>
                  <a:satMod val="110000"/>
                  <a:lumMod val="100000"/>
                  <a:shade val="100000"/>
                </a:schemeClr>
              </a:gs>
              <a:gs pos="100000">
                <a:schemeClr val="accent3">
                  <a:shade val="61000"/>
                  <a:lumMod val="99000"/>
                  <a:satMod val="120000"/>
                  <a:shade val="78000"/>
                </a:schemeClr>
              </a:gs>
            </a:gsLst>
            <a:lin ang="5400000" scaled="0"/>
          </a:gradFill>
          <a:ln>
            <a:solidFill>
              <a:schemeClr val="bg1"/>
            </a:solidFill>
          </a:ln>
          <a:effectLst/>
        </c:spPr>
      </c:pivotFmt>
      <c:pivotFmt>
        <c:idx val="34"/>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a:solidFill>
              <a:schemeClr val="bg1"/>
            </a:solidFill>
          </a:ln>
          <a:effectLst/>
        </c:spPr>
      </c:pivotFmt>
      <c:pivotFmt>
        <c:idx val="35"/>
        <c:spPr>
          <a:gradFill rotWithShape="1">
            <a:gsLst>
              <a:gs pos="0">
                <a:schemeClr val="accent3">
                  <a:tint val="46000"/>
                  <a:satMod val="103000"/>
                  <a:lumMod val="102000"/>
                  <a:tint val="94000"/>
                </a:schemeClr>
              </a:gs>
              <a:gs pos="50000">
                <a:schemeClr val="accent3">
                  <a:tint val="46000"/>
                  <a:satMod val="110000"/>
                  <a:lumMod val="100000"/>
                  <a:shade val="100000"/>
                </a:schemeClr>
              </a:gs>
              <a:gs pos="100000">
                <a:schemeClr val="accent3">
                  <a:tint val="46000"/>
                  <a:lumMod val="99000"/>
                  <a:satMod val="120000"/>
                  <a:shade val="78000"/>
                </a:schemeClr>
              </a:gs>
            </a:gsLst>
            <a:lin ang="5400000" scaled="0"/>
          </a:gradFill>
          <a:ln>
            <a:solidFill>
              <a:schemeClr val="bg1"/>
            </a:solidFill>
          </a:ln>
          <a:effectLst/>
        </c:spPr>
      </c:pivotFmt>
      <c:pivotFmt>
        <c:idx val="36"/>
        <c:spPr>
          <a:gradFill rotWithShape="1">
            <a:gsLst>
              <a:gs pos="0">
                <a:schemeClr val="accent3">
                  <a:tint val="62000"/>
                  <a:satMod val="103000"/>
                  <a:lumMod val="102000"/>
                  <a:tint val="94000"/>
                </a:schemeClr>
              </a:gs>
              <a:gs pos="50000">
                <a:schemeClr val="accent3">
                  <a:tint val="62000"/>
                  <a:satMod val="110000"/>
                  <a:lumMod val="100000"/>
                  <a:shade val="100000"/>
                </a:schemeClr>
              </a:gs>
              <a:gs pos="100000">
                <a:schemeClr val="accent3">
                  <a:tint val="62000"/>
                  <a:lumMod val="99000"/>
                  <a:satMod val="120000"/>
                  <a:shade val="78000"/>
                </a:schemeClr>
              </a:gs>
            </a:gsLst>
            <a:lin ang="5400000" scaled="0"/>
          </a:gradFill>
          <a:ln>
            <a:solidFill>
              <a:schemeClr val="bg1"/>
            </a:solidFill>
          </a:ln>
          <a:effectLst/>
        </c:spPr>
      </c:pivotFmt>
    </c:pivotFmts>
    <c:plotArea>
      <c:layout>
        <c:manualLayout>
          <c:layoutTarget val="inner"/>
          <c:xMode val="edge"/>
          <c:yMode val="edge"/>
          <c:x val="0.1180442050006907"/>
          <c:y val="3.8554419608839215E-2"/>
          <c:w val="0.39655933139936456"/>
          <c:h val="0.91144685039370077"/>
        </c:manualLayout>
      </c:layout>
      <c:doughnutChart>
        <c:varyColors val="1"/>
        <c:ser>
          <c:idx val="0"/>
          <c:order val="0"/>
          <c:tx>
            <c:strRef>
              <c:f>'Pivot Table'!$B$4</c:f>
              <c:strCache>
                <c:ptCount val="1"/>
                <c:pt idx="0">
                  <c:v>Total</c:v>
                </c:pt>
              </c:strCache>
            </c:strRef>
          </c:tx>
          <c:spPr>
            <a:ln>
              <a:solidFill>
                <a:schemeClr val="bg1"/>
              </a:solidFill>
            </a:ln>
          </c:spPr>
          <c:dPt>
            <c:idx val="0"/>
            <c:bubble3D val="0"/>
            <c:spPr>
              <a:gradFill rotWithShape="1">
                <a:gsLst>
                  <a:gs pos="0">
                    <a:schemeClr val="accent3">
                      <a:shade val="45000"/>
                      <a:satMod val="103000"/>
                      <a:lumMod val="102000"/>
                      <a:tint val="94000"/>
                    </a:schemeClr>
                  </a:gs>
                  <a:gs pos="50000">
                    <a:schemeClr val="accent3">
                      <a:shade val="45000"/>
                      <a:satMod val="110000"/>
                      <a:lumMod val="100000"/>
                      <a:shade val="100000"/>
                    </a:schemeClr>
                  </a:gs>
                  <a:gs pos="100000">
                    <a:schemeClr val="accent3">
                      <a:shade val="45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1-6F04-48C2-9628-079C53455B4A}"/>
              </c:ext>
            </c:extLst>
          </c:dPt>
          <c:dPt>
            <c:idx val="1"/>
            <c:bubble3D val="0"/>
            <c:spPr>
              <a:gradFill rotWithShape="1">
                <a:gsLst>
                  <a:gs pos="0">
                    <a:schemeClr val="accent3">
                      <a:shade val="61000"/>
                      <a:satMod val="103000"/>
                      <a:lumMod val="102000"/>
                      <a:tint val="94000"/>
                    </a:schemeClr>
                  </a:gs>
                  <a:gs pos="50000">
                    <a:schemeClr val="accent3">
                      <a:shade val="61000"/>
                      <a:satMod val="110000"/>
                      <a:lumMod val="100000"/>
                      <a:shade val="100000"/>
                    </a:schemeClr>
                  </a:gs>
                  <a:gs pos="100000">
                    <a:schemeClr val="accent3">
                      <a:shade val="61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3-6F04-48C2-9628-079C53455B4A}"/>
              </c:ext>
            </c:extLst>
          </c:dPt>
          <c:dPt>
            <c:idx val="2"/>
            <c:bubble3D val="0"/>
            <c:spPr>
              <a:gradFill rotWithShape="1">
                <a:gsLst>
                  <a:gs pos="0">
                    <a:schemeClr val="accent3">
                      <a:shade val="76000"/>
                      <a:satMod val="103000"/>
                      <a:lumMod val="102000"/>
                      <a:tint val="94000"/>
                    </a:schemeClr>
                  </a:gs>
                  <a:gs pos="50000">
                    <a:schemeClr val="accent3">
                      <a:shade val="76000"/>
                      <a:satMod val="110000"/>
                      <a:lumMod val="100000"/>
                      <a:shade val="100000"/>
                    </a:schemeClr>
                  </a:gs>
                  <a:gs pos="100000">
                    <a:schemeClr val="accent3">
                      <a:shade val="76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5-6F04-48C2-9628-079C53455B4A}"/>
              </c:ext>
            </c:extLst>
          </c:dPt>
          <c:dPt>
            <c:idx val="3"/>
            <c:bubble3D val="0"/>
            <c:spPr>
              <a:gradFill rotWithShape="1">
                <a:gsLst>
                  <a:gs pos="0">
                    <a:schemeClr val="accent3">
                      <a:shade val="92000"/>
                      <a:satMod val="103000"/>
                      <a:lumMod val="102000"/>
                      <a:tint val="94000"/>
                    </a:schemeClr>
                  </a:gs>
                  <a:gs pos="50000">
                    <a:schemeClr val="accent3">
                      <a:shade val="92000"/>
                      <a:satMod val="110000"/>
                      <a:lumMod val="100000"/>
                      <a:shade val="100000"/>
                    </a:schemeClr>
                  </a:gs>
                  <a:gs pos="100000">
                    <a:schemeClr val="accent3">
                      <a:shade val="92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7-6F04-48C2-9628-079C53455B4A}"/>
              </c:ext>
            </c:extLst>
          </c:dPt>
          <c:dPt>
            <c:idx val="4"/>
            <c:bubble3D val="0"/>
            <c:spPr>
              <a:gradFill rotWithShape="1">
                <a:gsLst>
                  <a:gs pos="0">
                    <a:schemeClr val="accent3">
                      <a:tint val="93000"/>
                      <a:satMod val="103000"/>
                      <a:lumMod val="102000"/>
                      <a:tint val="94000"/>
                    </a:schemeClr>
                  </a:gs>
                  <a:gs pos="50000">
                    <a:schemeClr val="accent3">
                      <a:tint val="93000"/>
                      <a:satMod val="110000"/>
                      <a:lumMod val="100000"/>
                      <a:shade val="100000"/>
                    </a:schemeClr>
                  </a:gs>
                  <a:gs pos="100000">
                    <a:schemeClr val="accent3">
                      <a:tint val="93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9-6F04-48C2-9628-079C53455B4A}"/>
              </c:ext>
            </c:extLst>
          </c:dPt>
          <c:dPt>
            <c:idx val="5"/>
            <c:bubble3D val="0"/>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B-6F04-48C2-9628-079C53455B4A}"/>
              </c:ext>
            </c:extLst>
          </c:dPt>
          <c:dPt>
            <c:idx val="6"/>
            <c:bubble3D val="0"/>
            <c:spPr>
              <a:gradFill rotWithShape="1">
                <a:gsLst>
                  <a:gs pos="0">
                    <a:schemeClr val="accent3">
                      <a:tint val="62000"/>
                      <a:satMod val="103000"/>
                      <a:lumMod val="102000"/>
                      <a:tint val="94000"/>
                    </a:schemeClr>
                  </a:gs>
                  <a:gs pos="50000">
                    <a:schemeClr val="accent3">
                      <a:tint val="62000"/>
                      <a:satMod val="110000"/>
                      <a:lumMod val="100000"/>
                      <a:shade val="100000"/>
                    </a:schemeClr>
                  </a:gs>
                  <a:gs pos="100000">
                    <a:schemeClr val="accent3">
                      <a:tint val="62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D-6F04-48C2-9628-079C53455B4A}"/>
              </c:ext>
            </c:extLst>
          </c:dPt>
          <c:dPt>
            <c:idx val="7"/>
            <c:bubble3D val="0"/>
            <c:spPr>
              <a:gradFill rotWithShape="1">
                <a:gsLst>
                  <a:gs pos="0">
                    <a:schemeClr val="accent3">
                      <a:tint val="46000"/>
                      <a:satMod val="103000"/>
                      <a:lumMod val="102000"/>
                      <a:tint val="94000"/>
                    </a:schemeClr>
                  </a:gs>
                  <a:gs pos="50000">
                    <a:schemeClr val="accent3">
                      <a:tint val="46000"/>
                      <a:satMod val="110000"/>
                      <a:lumMod val="100000"/>
                      <a:shade val="100000"/>
                    </a:schemeClr>
                  </a:gs>
                  <a:gs pos="100000">
                    <a:schemeClr val="accent3">
                      <a:tint val="46000"/>
                      <a:lumMod val="99000"/>
                      <a:satMod val="120000"/>
                      <a:shade val="78000"/>
                    </a:schemeClr>
                  </a:gs>
                </a:gsLst>
                <a:lin ang="5400000" scaled="0"/>
              </a:gradFill>
              <a:ln>
                <a:solidFill>
                  <a:schemeClr val="bg1"/>
                </a:solidFill>
              </a:ln>
              <a:effectLst/>
            </c:spPr>
            <c:extLst>
              <c:ext xmlns:c16="http://schemas.microsoft.com/office/drawing/2014/chart" uri="{C3380CC4-5D6E-409C-BE32-E72D297353CC}">
                <c16:uniqueId val="{0000000F-6F04-48C2-9628-079C53455B4A}"/>
              </c:ext>
            </c:extLst>
          </c:dPt>
          <c:cat>
            <c:strRef>
              <c:f>'Pivot Table'!$A$5:$A$13</c:f>
              <c:strCache>
                <c:ptCount val="8"/>
                <c:pt idx="0">
                  <c:v>By Hanging</c:v>
                </c:pt>
                <c:pt idx="1">
                  <c:v>By Poison/Pills</c:v>
                </c:pt>
                <c:pt idx="2">
                  <c:v>By Drowning</c:v>
                </c:pt>
                <c:pt idx="3">
                  <c:v>By Other Means</c:v>
                </c:pt>
                <c:pt idx="4">
                  <c:v>By Coming under Vehicles</c:v>
                </c:pt>
                <c:pt idx="5">
                  <c:v>By Self Immolation</c:v>
                </c:pt>
                <c:pt idx="6">
                  <c:v>Jumping</c:v>
                </c:pt>
                <c:pt idx="7">
                  <c:v>By Touching Electric Wire</c:v>
                </c:pt>
              </c:strCache>
            </c:strRef>
          </c:cat>
          <c:val>
            <c:numRef>
              <c:f>'Pivot Table'!$B$5:$B$13</c:f>
              <c:numCache>
                <c:formatCode>General</c:formatCode>
                <c:ptCount val="8"/>
                <c:pt idx="0">
                  <c:v>112133</c:v>
                </c:pt>
                <c:pt idx="1">
                  <c:v>33640</c:v>
                </c:pt>
                <c:pt idx="2">
                  <c:v>7651</c:v>
                </c:pt>
                <c:pt idx="3">
                  <c:v>6586</c:v>
                </c:pt>
                <c:pt idx="4">
                  <c:v>4583</c:v>
                </c:pt>
                <c:pt idx="5">
                  <c:v>4045</c:v>
                </c:pt>
                <c:pt idx="6">
                  <c:v>1872</c:v>
                </c:pt>
                <c:pt idx="7">
                  <c:v>414</c:v>
                </c:pt>
              </c:numCache>
            </c:numRef>
          </c:val>
          <c:extLst>
            <c:ext xmlns:c16="http://schemas.microsoft.com/office/drawing/2014/chart" uri="{C3380CC4-5D6E-409C-BE32-E72D297353CC}">
              <c16:uniqueId val="{00000010-6F04-48C2-9628-079C53455B4A}"/>
            </c:ext>
          </c:extLst>
        </c:ser>
        <c:dLbls>
          <c:showLegendKey val="0"/>
          <c:showVal val="0"/>
          <c:showCatName val="0"/>
          <c:showSerName val="0"/>
          <c:showPercent val="0"/>
          <c:showBubbleSize val="0"/>
          <c:showLeaderLines val="1"/>
        </c:dLbls>
        <c:firstSliceAng val="0"/>
        <c:holeSize val="65"/>
      </c:doughnutChart>
      <c:spPr>
        <a:noFill/>
        <a:ln>
          <a:noFill/>
        </a:ln>
        <a:effectLst/>
      </c:spPr>
    </c:plotArea>
    <c:legend>
      <c:legendPos val="r"/>
      <c:layout>
        <c:manualLayout>
          <c:xMode val="edge"/>
          <c:yMode val="edge"/>
          <c:x val="0.58193792930139054"/>
          <c:y val="0.15335180324681635"/>
          <c:w val="0.40742377282626907"/>
          <c:h val="0.8395100612423447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outerShdw blurRad="50800" dist="38100" algn="l" rotWithShape="0">
        <a:prstClr val="black">
          <a:alpha val="40000"/>
        </a:prstClr>
      </a:outerShdw>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Table!PivotTable7</c:name>
    <c:fmtId val="15"/>
  </c:pivotSource>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en-US"/>
              <a:t>Total SUIcide</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50000"/>
              <a:lumOff val="50000"/>
            </a:schemeClr>
          </a:solidFill>
          <a:ln>
            <a:solidFill>
              <a:schemeClr val="tx1"/>
            </a:solidFill>
          </a:ln>
          <a:effectLst>
            <a:innerShdw blurRad="114300">
              <a:schemeClr val="accent1"/>
            </a:inn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1">
              <a:lumMod val="50000"/>
              <a:lumOff val="50000"/>
            </a:schemeClr>
          </a:solidFill>
          <a:ln>
            <a:solidFill>
              <a:schemeClr val="tx1"/>
            </a:solidFill>
          </a:ln>
          <a:effectLst>
            <a:innerShdw blurRad="114300">
              <a:schemeClr val="accent1"/>
            </a:inn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lumMod val="50000"/>
              <a:lumOff val="50000"/>
            </a:schemeClr>
          </a:solidFill>
          <a:ln>
            <a:solidFill>
              <a:schemeClr val="tx1"/>
            </a:solidFill>
          </a:ln>
          <a:effectLst>
            <a:innerShdw blurRad="114300">
              <a:schemeClr val="accent1"/>
            </a:inn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747948537920499E-2"/>
          <c:y val="0.10154146128075454"/>
          <c:w val="0.92551980175557769"/>
          <c:h val="0.50864711867520873"/>
        </c:manualLayout>
      </c:layout>
      <c:areaChart>
        <c:grouping val="standard"/>
        <c:varyColors val="0"/>
        <c:ser>
          <c:idx val="0"/>
          <c:order val="0"/>
          <c:tx>
            <c:strRef>
              <c:f>'Pivot Table'!$K$17</c:f>
              <c:strCache>
                <c:ptCount val="1"/>
                <c:pt idx="0">
                  <c:v>Total</c:v>
                </c:pt>
              </c:strCache>
            </c:strRef>
          </c:tx>
          <c:spPr>
            <a:solidFill>
              <a:schemeClr val="tx1">
                <a:lumMod val="50000"/>
                <a:lumOff val="50000"/>
              </a:schemeClr>
            </a:solidFill>
            <a:ln>
              <a:solidFill>
                <a:schemeClr val="tx1"/>
              </a:solidFill>
            </a:ln>
            <a:effectLst>
              <a:innerShdw blurRad="114300">
                <a:schemeClr val="accent1"/>
              </a:innerShdw>
            </a:effectLst>
            <a:scene3d>
              <a:camera prst="orthographicFront"/>
              <a:lightRig rig="threePt" dir="t"/>
            </a:scene3d>
            <a:sp3d>
              <a:bevelT w="190500" h="38100"/>
            </a:sp3d>
          </c:spPr>
          <c:cat>
            <c:strRef>
              <c:f>'Pivot Table'!$J$18:$J$55</c:f>
              <c:strCache>
                <c:ptCount val="37"/>
                <c:pt idx="0">
                  <c:v>Maharashtra</c:v>
                </c:pt>
                <c:pt idx="1">
                  <c:v>Tamil Nadu</c:v>
                </c:pt>
                <c:pt idx="2">
                  <c:v>Madhya Pradesh</c:v>
                </c:pt>
                <c:pt idx="3">
                  <c:v>Karnataka</c:v>
                </c:pt>
                <c:pt idx="4">
                  <c:v>West Bengal</c:v>
                </c:pt>
                <c:pt idx="5">
                  <c:v>Kerala</c:v>
                </c:pt>
                <c:pt idx="6">
                  <c:v>Telangana</c:v>
                </c:pt>
                <c:pt idx="7">
                  <c:v>Gujarat</c:v>
                </c:pt>
                <c:pt idx="8">
                  <c:v>Andhra Pradesh</c:v>
                </c:pt>
                <c:pt idx="9">
                  <c:v>Chhattisgarh</c:v>
                </c:pt>
                <c:pt idx="10">
                  <c:v>Uttar Pradesh</c:v>
                </c:pt>
                <c:pt idx="11">
                  <c:v>Odisha</c:v>
                </c:pt>
                <c:pt idx="12">
                  <c:v>Rajasthan</c:v>
                </c:pt>
                <c:pt idx="13">
                  <c:v>Haryana</c:v>
                </c:pt>
                <c:pt idx="14">
                  <c:v>Delhi</c:v>
                </c:pt>
                <c:pt idx="15">
                  <c:v>Assam</c:v>
                </c:pt>
                <c:pt idx="16">
                  <c:v>Punjab</c:v>
                </c:pt>
                <c:pt idx="17">
                  <c:v>Jharkhand</c:v>
                </c:pt>
                <c:pt idx="18">
                  <c:v>Uttarakhand</c:v>
                </c:pt>
                <c:pt idx="19">
                  <c:v>Tripura</c:v>
                </c:pt>
                <c:pt idx="20">
                  <c:v>Bihar</c:v>
                </c:pt>
                <c:pt idx="21">
                  <c:v>Himachal Pradesh</c:v>
                </c:pt>
                <c:pt idx="22">
                  <c:v>Puducherry</c:v>
                </c:pt>
                <c:pt idx="23">
                  <c:v>Jammu and Kashmir</c:v>
                </c:pt>
                <c:pt idx="24">
                  <c:v>Goa</c:v>
                </c:pt>
                <c:pt idx="25">
                  <c:v>Sikkim</c:v>
                </c:pt>
                <c:pt idx="26">
                  <c:v>Meghalaya</c:v>
                </c:pt>
                <c:pt idx="27">
                  <c:v>Andaman and Nicobar</c:v>
                </c:pt>
                <c:pt idx="28">
                  <c:v>Mizoram</c:v>
                </c:pt>
                <c:pt idx="29">
                  <c:v>Arunachal Pradesh</c:v>
                </c:pt>
                <c:pt idx="30">
                  <c:v>Chandigarh</c:v>
                </c:pt>
                <c:pt idx="31">
                  <c:v>Dadra and Nagar Haveli</c:v>
                </c:pt>
                <c:pt idx="32">
                  <c:v>Daman and Diu</c:v>
                </c:pt>
                <c:pt idx="33">
                  <c:v>Nagaland</c:v>
                </c:pt>
                <c:pt idx="34">
                  <c:v>Manipur</c:v>
                </c:pt>
                <c:pt idx="35">
                  <c:v>Ladakh</c:v>
                </c:pt>
                <c:pt idx="36">
                  <c:v>Lakshadweep</c:v>
                </c:pt>
              </c:strCache>
            </c:strRef>
          </c:cat>
          <c:val>
            <c:numRef>
              <c:f>'Pivot Table'!$K$18:$K$55</c:f>
              <c:numCache>
                <c:formatCode>General</c:formatCode>
                <c:ptCount val="37"/>
                <c:pt idx="0">
                  <c:v>113730</c:v>
                </c:pt>
                <c:pt idx="1">
                  <c:v>99170</c:v>
                </c:pt>
                <c:pt idx="2">
                  <c:v>76930</c:v>
                </c:pt>
                <c:pt idx="3">
                  <c:v>68030</c:v>
                </c:pt>
                <c:pt idx="4">
                  <c:v>63345</c:v>
                </c:pt>
                <c:pt idx="5">
                  <c:v>50810</c:v>
                </c:pt>
                <c:pt idx="6">
                  <c:v>49900</c:v>
                </c:pt>
                <c:pt idx="7">
                  <c:v>45010</c:v>
                </c:pt>
                <c:pt idx="8">
                  <c:v>44540</c:v>
                </c:pt>
                <c:pt idx="9">
                  <c:v>42230</c:v>
                </c:pt>
                <c:pt idx="10">
                  <c:v>40880</c:v>
                </c:pt>
                <c:pt idx="11">
                  <c:v>30700</c:v>
                </c:pt>
                <c:pt idx="12">
                  <c:v>26715</c:v>
                </c:pt>
                <c:pt idx="13">
                  <c:v>18915</c:v>
                </c:pt>
                <c:pt idx="14">
                  <c:v>17085</c:v>
                </c:pt>
                <c:pt idx="15">
                  <c:v>16600</c:v>
                </c:pt>
                <c:pt idx="16">
                  <c:v>12205</c:v>
                </c:pt>
                <c:pt idx="17">
                  <c:v>10905</c:v>
                </c:pt>
                <c:pt idx="18">
                  <c:v>4070</c:v>
                </c:pt>
                <c:pt idx="19">
                  <c:v>3565</c:v>
                </c:pt>
                <c:pt idx="20">
                  <c:v>3510</c:v>
                </c:pt>
                <c:pt idx="21">
                  <c:v>3220</c:v>
                </c:pt>
                <c:pt idx="22">
                  <c:v>2405</c:v>
                </c:pt>
                <c:pt idx="23">
                  <c:v>1615</c:v>
                </c:pt>
                <c:pt idx="24">
                  <c:v>1510</c:v>
                </c:pt>
                <c:pt idx="25">
                  <c:v>1465</c:v>
                </c:pt>
                <c:pt idx="26">
                  <c:v>1065</c:v>
                </c:pt>
                <c:pt idx="27">
                  <c:v>855</c:v>
                </c:pt>
                <c:pt idx="28">
                  <c:v>765</c:v>
                </c:pt>
                <c:pt idx="29">
                  <c:v>745</c:v>
                </c:pt>
                <c:pt idx="30">
                  <c:v>655</c:v>
                </c:pt>
                <c:pt idx="31">
                  <c:v>515</c:v>
                </c:pt>
                <c:pt idx="32">
                  <c:v>510</c:v>
                </c:pt>
                <c:pt idx="33">
                  <c:v>245</c:v>
                </c:pt>
                <c:pt idx="34">
                  <c:v>130</c:v>
                </c:pt>
                <c:pt idx="35">
                  <c:v>65</c:v>
                </c:pt>
                <c:pt idx="36">
                  <c:v>10</c:v>
                </c:pt>
              </c:numCache>
            </c:numRef>
          </c:val>
          <c:extLst>
            <c:ext xmlns:c16="http://schemas.microsoft.com/office/drawing/2014/chart" uri="{C3380CC4-5D6E-409C-BE32-E72D297353CC}">
              <c16:uniqueId val="{00000000-5A3E-4C9B-85BF-CC60F299B02B}"/>
            </c:ext>
          </c:extLst>
        </c:ser>
        <c:dLbls>
          <c:showLegendKey val="0"/>
          <c:showVal val="0"/>
          <c:showCatName val="0"/>
          <c:showSerName val="0"/>
          <c:showPercent val="0"/>
          <c:showBubbleSize val="0"/>
        </c:dLbls>
        <c:axId val="1655540015"/>
        <c:axId val="1655560655"/>
      </c:areaChart>
      <c:catAx>
        <c:axId val="1655540015"/>
        <c:scaling>
          <c:orientation val="minMax"/>
        </c:scaling>
        <c:delete val="0"/>
        <c:axPos val="b"/>
        <c:numFmt formatCode="General" sourceLinked="1"/>
        <c:majorTickMark val="out"/>
        <c:minorTickMark val="out"/>
        <c:tickLblPos val="nextTo"/>
        <c:spPr>
          <a:noFill/>
          <a:ln>
            <a:noFill/>
          </a:ln>
          <a:effectLst/>
        </c:spPr>
        <c:txPr>
          <a:bodyPr rot="-60000000" spcFirstLastPara="1" vertOverflow="ellipsis" vert="horz" wrap="square" anchor="ctr" anchorCtr="1"/>
          <a:lstStyle/>
          <a:p>
            <a:pPr>
              <a:defRPr sz="900" b="0" i="0" u="none" strike="noStrike" kern="1200" cap="all" spc="120" normalizeH="0" baseline="0">
                <a:solidFill>
                  <a:schemeClr val="tx1"/>
                </a:solidFill>
                <a:latin typeface="+mn-lt"/>
                <a:ea typeface="+mn-ea"/>
                <a:cs typeface="+mn-cs"/>
              </a:defRPr>
            </a:pPr>
            <a:endParaRPr lang="en-US"/>
          </a:p>
        </c:txPr>
        <c:crossAx val="1655560655"/>
        <c:crosses val="autoZero"/>
        <c:auto val="1"/>
        <c:lblAlgn val="ctr"/>
        <c:lblOffset val="100"/>
        <c:noMultiLvlLbl val="0"/>
      </c:catAx>
      <c:valAx>
        <c:axId val="165556065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5554001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Table!PivotTable6</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90000"/>
            </a:schemeClr>
          </a:solidFill>
          <a:ln w="19050">
            <a:solidFill>
              <a:schemeClr val="lt1"/>
            </a:solidFill>
          </a:ln>
          <a:effectLst/>
        </c:spPr>
      </c:pivotFmt>
      <c:pivotFmt>
        <c:idx val="2"/>
        <c:spPr>
          <a:solidFill>
            <a:schemeClr val="tx1">
              <a:lumMod val="50000"/>
              <a:lumOff val="50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50000"/>
              <a:lumOff val="50000"/>
            </a:schemeClr>
          </a:solidFill>
          <a:ln w="19050">
            <a:solidFill>
              <a:schemeClr val="lt1"/>
            </a:solidFill>
          </a:ln>
          <a:effectLst/>
        </c:spPr>
      </c:pivotFmt>
      <c:pivotFmt>
        <c:idx val="5"/>
        <c:spPr>
          <a:solidFill>
            <a:schemeClr val="bg2">
              <a:lumMod val="90000"/>
            </a:schemeClr>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lumMod val="50000"/>
              <a:lumOff val="50000"/>
            </a:schemeClr>
          </a:solidFill>
          <a:ln w="19050">
            <a:solidFill>
              <a:schemeClr val="lt1"/>
            </a:solidFill>
          </a:ln>
          <a:effectLst/>
        </c:spPr>
      </c:pivotFmt>
      <c:pivotFmt>
        <c:idx val="9"/>
        <c:spPr>
          <a:solidFill>
            <a:schemeClr val="bg2">
              <a:lumMod val="90000"/>
            </a:schemeClr>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lumMod val="50000"/>
              <a:lumOff val="50000"/>
            </a:schemeClr>
          </a:solidFill>
          <a:ln w="19050">
            <a:solidFill>
              <a:schemeClr val="lt1"/>
            </a:solidFill>
          </a:ln>
          <a:effectLst/>
        </c:spPr>
      </c:pivotFmt>
      <c:pivotFmt>
        <c:idx val="13"/>
        <c:spPr>
          <a:solidFill>
            <a:schemeClr val="bg2">
              <a:lumMod val="90000"/>
            </a:schemeClr>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tx1">
              <a:lumMod val="50000"/>
              <a:lumOff val="50000"/>
            </a:schemeClr>
          </a:solidFill>
          <a:ln w="19050">
            <a:solidFill>
              <a:schemeClr val="lt1"/>
            </a:solidFill>
          </a:ln>
          <a:effectLst/>
        </c:spPr>
      </c:pivotFmt>
      <c:pivotFmt>
        <c:idx val="17"/>
        <c:spPr>
          <a:solidFill>
            <a:schemeClr val="bg2">
              <a:lumMod val="90000"/>
            </a:schemeClr>
          </a:solidFill>
          <a:ln w="19050">
            <a:solidFill>
              <a:schemeClr val="lt1"/>
            </a:solidFill>
          </a:ln>
          <a:effectLst/>
        </c:spPr>
      </c:pivotFmt>
      <c:pivotFmt>
        <c:idx val="18"/>
        <c:spPr>
          <a:solidFill>
            <a:schemeClr val="bg2">
              <a:lumMod val="90000"/>
            </a:schemeClr>
          </a:solidFill>
          <a:ln w="19050">
            <a:solidFill>
              <a:schemeClr val="lt1"/>
            </a:solidFill>
          </a:ln>
          <a:effectLst/>
        </c:spPr>
      </c:pivotFmt>
    </c:pivotFmts>
    <c:plotArea>
      <c:layout>
        <c:manualLayout>
          <c:layoutTarget val="inner"/>
          <c:xMode val="edge"/>
          <c:yMode val="edge"/>
          <c:x val="6.8487614923340726E-2"/>
          <c:y val="0"/>
          <c:w val="0.93005281065241141"/>
          <c:h val="1"/>
        </c:manualLayout>
      </c:layout>
      <c:doughnutChart>
        <c:varyColors val="1"/>
        <c:ser>
          <c:idx val="0"/>
          <c:order val="0"/>
          <c:tx>
            <c:strRef>
              <c:f>'Pivot Table'!$B$22</c:f>
              <c:strCache>
                <c:ptCount val="1"/>
                <c:pt idx="0">
                  <c:v>Total</c:v>
                </c:pt>
              </c:strCache>
            </c:strRef>
          </c:tx>
          <c:dPt>
            <c:idx val="0"/>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1-9CAF-4713-A178-F128B80E1DDF}"/>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9CAF-4713-A178-F128B80E1DDF}"/>
              </c:ext>
            </c:extLst>
          </c:dPt>
          <c:dPt>
            <c:idx val="2"/>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5-9CAF-4713-A178-F128B80E1DDF}"/>
              </c:ext>
            </c:extLst>
          </c:dPt>
          <c:cat>
            <c:strRef>
              <c:f>'Pivot Table'!$A$23:$A$26</c:f>
              <c:strCache>
                <c:ptCount val="3"/>
                <c:pt idx="0">
                  <c:v>Female</c:v>
                </c:pt>
                <c:pt idx="1">
                  <c:v>Male</c:v>
                </c:pt>
                <c:pt idx="2">
                  <c:v>Transgender</c:v>
                </c:pt>
              </c:strCache>
            </c:strRef>
          </c:cat>
          <c:val>
            <c:numRef>
              <c:f>'Pivot Table'!$B$23:$B$26</c:f>
              <c:numCache>
                <c:formatCode>General</c:formatCode>
                <c:ptCount val="3"/>
                <c:pt idx="0">
                  <c:v>48191</c:v>
                </c:pt>
                <c:pt idx="1">
                  <c:v>122705</c:v>
                </c:pt>
                <c:pt idx="2">
                  <c:v>28</c:v>
                </c:pt>
              </c:numCache>
            </c:numRef>
          </c:val>
          <c:extLst>
            <c:ext xmlns:c16="http://schemas.microsoft.com/office/drawing/2014/chart" uri="{C3380CC4-5D6E-409C-BE32-E72D297353CC}">
              <c16:uniqueId val="{00000006-9CAF-4713-A178-F128B80E1DD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Table!PivotTable6</c:name>
    <c:fmtId val="2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w="19050">
            <a:solidFill>
              <a:schemeClr val="lt1"/>
            </a:solidFill>
          </a:ln>
          <a:effectLst/>
        </c:spPr>
      </c:pivotFmt>
      <c:pivotFmt>
        <c:idx val="7"/>
        <c:spPr>
          <a:solidFill>
            <a:schemeClr val="tx1">
              <a:lumMod val="50000"/>
              <a:lumOff val="50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2">
              <a:lumMod val="90000"/>
            </a:schemeClr>
          </a:solidFill>
          <a:ln w="19050">
            <a:solidFill>
              <a:schemeClr val="lt1"/>
            </a:solidFill>
          </a:ln>
          <a:effectLst/>
        </c:spPr>
      </c:pivotFmt>
      <c:pivotFmt>
        <c:idx val="11"/>
        <c:spPr>
          <a:solidFill>
            <a:schemeClr val="tx1">
              <a:lumMod val="50000"/>
              <a:lumOff val="50000"/>
            </a:schemeClr>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9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tx1">
              <a:lumMod val="50000"/>
              <a:lumOff val="50000"/>
            </a:schemeClr>
          </a:solidFill>
          <a:ln w="19050">
            <a:solidFill>
              <a:schemeClr val="lt1"/>
            </a:solidFill>
          </a:ln>
          <a:effectLst/>
        </c:spPr>
        <c:dLbl>
          <c:idx val="0"/>
          <c:layout>
            <c:manualLayout>
              <c:x val="0.19428548931383574"/>
              <c:y val="-0.3032258064516129"/>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0.58102857142857134"/>
                  <c:h val="0.38700025400050803"/>
                </c:manualLayout>
              </c15:layout>
            </c:ext>
          </c:extLst>
        </c:dLbl>
      </c:pivotFmt>
      <c:pivotFmt>
        <c:idx val="16"/>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2">
              <a:lumMod val="90000"/>
            </a:schemeClr>
          </a:solidFill>
          <a:ln w="19050">
            <a:solidFill>
              <a:schemeClr val="lt1"/>
            </a:solidFill>
          </a:ln>
          <a:effectLst/>
        </c:spPr>
      </c:pivotFmt>
      <c:pivotFmt>
        <c:idx val="19"/>
        <c:spPr>
          <a:solidFill>
            <a:schemeClr val="tx1">
              <a:lumMod val="50000"/>
              <a:lumOff val="50000"/>
            </a:schemeClr>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2">
              <a:lumMod val="90000"/>
            </a:schemeClr>
          </a:solidFill>
          <a:ln w="19050">
            <a:solidFill>
              <a:schemeClr val="lt1"/>
            </a:solidFill>
          </a:ln>
          <a:effectLst/>
        </c:spPr>
      </c:pivotFmt>
      <c:pivotFmt>
        <c:idx val="23"/>
        <c:spPr>
          <a:solidFill>
            <a:schemeClr val="tx1">
              <a:lumMod val="50000"/>
              <a:lumOff val="50000"/>
            </a:schemeClr>
          </a:solidFill>
          <a:ln w="19050">
            <a:solidFill>
              <a:schemeClr val="lt1"/>
            </a:solidFill>
          </a:ln>
          <a:effectLst/>
        </c:spPr>
      </c:pivotFmt>
      <c:pivotFmt>
        <c:idx val="24"/>
        <c:spPr>
          <a:solidFill>
            <a:schemeClr val="bg2">
              <a:lumMod val="90000"/>
            </a:schemeClr>
          </a:solidFill>
          <a:ln w="19050">
            <a:solidFill>
              <a:schemeClr val="lt1"/>
            </a:solidFill>
          </a:ln>
          <a:effectLst/>
        </c:spPr>
      </c:pivotFmt>
    </c:pivotFmts>
    <c:plotArea>
      <c:layout>
        <c:manualLayout>
          <c:layoutTarget val="inner"/>
          <c:xMode val="edge"/>
          <c:yMode val="edge"/>
          <c:x val="1.0965059055118111E-2"/>
          <c:y val="4.8676657353314704E-3"/>
          <c:w val="0.97383316929133856"/>
          <c:h val="0.99513233426466852"/>
        </c:manualLayout>
      </c:layout>
      <c:doughnutChart>
        <c:varyColors val="1"/>
        <c:ser>
          <c:idx val="0"/>
          <c:order val="0"/>
          <c:tx>
            <c:strRef>
              <c:f>'Pivot Table'!$B$22</c:f>
              <c:strCache>
                <c:ptCount val="1"/>
                <c:pt idx="0">
                  <c:v>Total</c:v>
                </c:pt>
              </c:strCache>
            </c:strRef>
          </c:tx>
          <c:dPt>
            <c:idx val="0"/>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1-F56E-4BEF-9DDF-7EA5309A6932}"/>
              </c:ext>
            </c:extLst>
          </c:dPt>
          <c:dPt>
            <c:idx val="1"/>
            <c:bubble3D val="0"/>
            <c:spPr>
              <a:solidFill>
                <a:schemeClr val="tx1">
                  <a:lumMod val="50000"/>
                  <a:lumOff val="50000"/>
                </a:schemeClr>
              </a:solidFill>
              <a:ln w="19050">
                <a:solidFill>
                  <a:schemeClr val="lt1"/>
                </a:solidFill>
              </a:ln>
              <a:effectLst/>
            </c:spPr>
            <c:extLst>
              <c:ext xmlns:c16="http://schemas.microsoft.com/office/drawing/2014/chart" uri="{C3380CC4-5D6E-409C-BE32-E72D297353CC}">
                <c16:uniqueId val="{00000003-F56E-4BEF-9DDF-7EA5309A6932}"/>
              </c:ext>
            </c:extLst>
          </c:dPt>
          <c:dPt>
            <c:idx val="2"/>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5-F56E-4BEF-9DDF-7EA5309A6932}"/>
              </c:ext>
            </c:extLst>
          </c:dPt>
          <c:cat>
            <c:strRef>
              <c:f>'Pivot Table'!$A$23:$A$26</c:f>
              <c:strCache>
                <c:ptCount val="3"/>
                <c:pt idx="0">
                  <c:v>Female</c:v>
                </c:pt>
                <c:pt idx="1">
                  <c:v>Male</c:v>
                </c:pt>
                <c:pt idx="2">
                  <c:v>Transgender</c:v>
                </c:pt>
              </c:strCache>
            </c:strRef>
          </c:cat>
          <c:val>
            <c:numRef>
              <c:f>'Pivot Table'!$B$23:$B$26</c:f>
              <c:numCache>
                <c:formatCode>General</c:formatCode>
                <c:ptCount val="3"/>
                <c:pt idx="0">
                  <c:v>48191</c:v>
                </c:pt>
                <c:pt idx="1">
                  <c:v>122705</c:v>
                </c:pt>
                <c:pt idx="2">
                  <c:v>28</c:v>
                </c:pt>
              </c:numCache>
            </c:numRef>
          </c:val>
          <c:extLst>
            <c:ext xmlns:c16="http://schemas.microsoft.com/office/drawing/2014/chart" uri="{C3380CC4-5D6E-409C-BE32-E72D297353CC}">
              <c16:uniqueId val="{00000006-F56E-4BEF-9DDF-7EA5309A693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[Suicide Dashboard.xlsm]Pivot Table!PivotTable4</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MARITAL</a:t>
            </a:r>
            <a:r>
              <a:rPr lang="en-IN" sz="1600" b="1" baseline="0"/>
              <a:t> STATUS</a:t>
            </a:r>
            <a:endParaRPr lang="en-IN" sz="1600" b="1"/>
          </a:p>
        </c:rich>
      </c:tx>
      <c:layout>
        <c:manualLayout>
          <c:xMode val="edge"/>
          <c:yMode val="edge"/>
          <c:x val="0.74198347464336611"/>
          <c:y val="5.9523809523809521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3"/>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w="19050">
            <a:solidFill>
              <a:schemeClr val="lt1"/>
            </a:solidFill>
          </a:ln>
          <a:effectLst/>
        </c:spPr>
      </c:pivotFmt>
      <c:pivotFmt>
        <c:idx val="10"/>
        <c:spPr>
          <a:solidFill>
            <a:schemeClr val="accent3"/>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olidFill>
          <a:ln w="19050">
            <a:solidFill>
              <a:schemeClr val="lt1"/>
            </a:solidFill>
          </a:ln>
          <a:effectLst/>
        </c:spPr>
      </c:pivotFmt>
      <c:pivotFmt>
        <c:idx val="13"/>
        <c:spPr>
          <a:solidFill>
            <a:schemeClr val="accent3"/>
          </a:solidFill>
          <a:ln w="19050">
            <a:solidFill>
              <a:schemeClr val="lt1"/>
            </a:solidFill>
          </a:ln>
          <a:effectLst/>
        </c:spPr>
      </c:pivotFmt>
      <c:pivotFmt>
        <c:idx val="14"/>
        <c:spPr>
          <a:solidFill>
            <a:schemeClr val="accent3"/>
          </a:solidFill>
          <a:ln w="19050">
            <a:solidFill>
              <a:schemeClr val="lt1"/>
            </a:solidFill>
          </a:ln>
          <a:effectLst/>
        </c:spPr>
      </c:pivotFmt>
      <c:pivotFmt>
        <c:idx val="1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3"/>
          </a:solidFill>
          <a:ln w="19050">
            <a:solidFill>
              <a:schemeClr val="lt1"/>
            </a:solidFill>
          </a:ln>
          <a:effectLst/>
        </c:spPr>
      </c:pivotFmt>
      <c:pivotFmt>
        <c:idx val="17"/>
        <c:spPr>
          <a:solidFill>
            <a:schemeClr val="accent3"/>
          </a:solidFill>
          <a:ln w="19050">
            <a:solidFill>
              <a:schemeClr val="lt1"/>
            </a:solidFill>
          </a:ln>
          <a:effectLst/>
        </c:spPr>
      </c:pivotFmt>
      <c:pivotFmt>
        <c:idx val="18"/>
        <c:spPr>
          <a:solidFill>
            <a:schemeClr val="accent3"/>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olidFill>
          <a:ln w="19050">
            <a:solidFill>
              <a:schemeClr val="lt1"/>
            </a:solidFill>
          </a:ln>
          <a:effectLst/>
        </c:spPr>
      </c:pivotFmt>
      <c:pivotFmt>
        <c:idx val="21"/>
        <c:spPr>
          <a:solidFill>
            <a:schemeClr val="accent3"/>
          </a:solidFill>
          <a:ln w="19050">
            <a:solidFill>
              <a:schemeClr val="lt1"/>
            </a:solidFill>
          </a:ln>
          <a:effectLst/>
        </c:spPr>
      </c:pivotFmt>
      <c:pivotFmt>
        <c:idx val="22"/>
        <c:spPr>
          <a:solidFill>
            <a:schemeClr val="accent3"/>
          </a:solidFill>
          <a:ln w="19050">
            <a:noFill/>
          </a:ln>
          <a:effectLst/>
          <a:scene3d>
            <a:camera prst="orthographicFront"/>
            <a:lightRig rig="threePt" dir="t"/>
          </a:scene3d>
          <a:sp3d prstMaterial="matte">
            <a:bevelT w="63500" h="63500" prst="artDeco"/>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3">
              <a:shade val="50000"/>
            </a:schemeClr>
          </a:solidFill>
          <a:ln w="19050">
            <a:noFill/>
          </a:ln>
          <a:effectLst/>
          <a:scene3d>
            <a:camera prst="orthographicFront"/>
            <a:lightRig rig="threePt" dir="t"/>
          </a:scene3d>
          <a:sp3d prstMaterial="matte">
            <a:bevelT w="63500" h="63500" prst="artDeco"/>
            <a:contourClr>
              <a:srgbClr val="000000"/>
            </a:contourClr>
          </a:sp3d>
        </c:spPr>
      </c:pivotFmt>
      <c:pivotFmt>
        <c:idx val="24"/>
        <c:spPr>
          <a:solidFill>
            <a:schemeClr val="accent3">
              <a:shade val="70000"/>
            </a:schemeClr>
          </a:solidFill>
          <a:ln w="19050">
            <a:noFill/>
          </a:ln>
          <a:effectLst/>
          <a:scene3d>
            <a:camera prst="orthographicFront"/>
            <a:lightRig rig="threePt" dir="t"/>
          </a:scene3d>
          <a:sp3d prstMaterial="matte">
            <a:bevelT w="63500" h="63500" prst="artDeco"/>
            <a:contourClr>
              <a:srgbClr val="000000"/>
            </a:contourClr>
          </a:sp3d>
        </c:spPr>
      </c:pivotFmt>
      <c:pivotFmt>
        <c:idx val="25"/>
        <c:spPr>
          <a:solidFill>
            <a:schemeClr val="accent3">
              <a:shade val="90000"/>
            </a:schemeClr>
          </a:solidFill>
          <a:ln w="19050">
            <a:noFill/>
          </a:ln>
          <a:effectLst/>
          <a:scene3d>
            <a:camera prst="orthographicFront"/>
            <a:lightRig rig="threePt" dir="t"/>
          </a:scene3d>
          <a:sp3d prstMaterial="matte">
            <a:bevelT w="63500" h="63500" prst="artDeco"/>
            <a:contourClr>
              <a:srgbClr val="000000"/>
            </a:contourClr>
          </a:sp3d>
        </c:spPr>
      </c:pivotFmt>
      <c:pivotFmt>
        <c:idx val="26"/>
        <c:spPr>
          <a:solidFill>
            <a:schemeClr val="accent3"/>
          </a:solidFill>
          <a:ln w="19050">
            <a:noFill/>
          </a:ln>
          <a:effectLst/>
          <a:scene3d>
            <a:camera prst="orthographicFront"/>
            <a:lightRig rig="threePt" dir="t"/>
          </a:scene3d>
          <a:sp3d prstMaterial="matte">
            <a:bevelT w="63500" h="63500" prst="artDeco"/>
            <a:contourClr>
              <a:srgbClr val="000000"/>
            </a:contourClr>
          </a:sp3d>
        </c:spPr>
      </c:pivotFmt>
      <c:pivotFmt>
        <c:idx val="27"/>
        <c:spPr>
          <a:solidFill>
            <a:schemeClr val="accent3">
              <a:tint val="70000"/>
            </a:schemeClr>
          </a:solidFill>
          <a:ln w="19050">
            <a:noFill/>
          </a:ln>
          <a:effectLst/>
          <a:scene3d>
            <a:camera prst="orthographicFront"/>
            <a:lightRig rig="threePt" dir="t"/>
          </a:scene3d>
          <a:sp3d prstMaterial="matte">
            <a:bevelT w="63500" h="63500" prst="artDeco"/>
            <a:contourClr>
              <a:srgbClr val="000000"/>
            </a:contourClr>
          </a:sp3d>
        </c:spPr>
      </c:pivotFmt>
      <c:pivotFmt>
        <c:idx val="28"/>
        <c:spPr>
          <a:solidFill>
            <a:schemeClr val="accent3"/>
          </a:solidFill>
          <a:ln w="19050">
            <a:noFill/>
          </a:ln>
          <a:effectLst/>
          <a:scene3d>
            <a:camera prst="orthographicFront"/>
            <a:lightRig rig="threePt" dir="t"/>
          </a:scene3d>
          <a:sp3d prstMaterial="matte">
            <a:bevelT w="63500" h="63500" prst="artDeco"/>
            <a:contourClr>
              <a:srgbClr val="000000"/>
            </a:contourClr>
          </a:sp3d>
        </c:spPr>
      </c:pivotFmt>
    </c:pivotFmts>
    <c:plotArea>
      <c:layout>
        <c:manualLayout>
          <c:layoutTarget val="inner"/>
          <c:xMode val="edge"/>
          <c:yMode val="edge"/>
          <c:x val="6.3941884313641117E-2"/>
          <c:y val="4.2815181810138901E-2"/>
          <c:w val="0.64036903173988502"/>
          <c:h val="0.92909493054941161"/>
        </c:manualLayout>
      </c:layout>
      <c:ofPieChart>
        <c:ofPieType val="pie"/>
        <c:varyColors val="1"/>
        <c:ser>
          <c:idx val="0"/>
          <c:order val="0"/>
          <c:tx>
            <c:strRef>
              <c:f>'Pivot Table'!$K$4</c:f>
              <c:strCache>
                <c:ptCount val="1"/>
                <c:pt idx="0">
                  <c:v>Total</c:v>
                </c:pt>
              </c:strCache>
            </c:strRef>
          </c:tx>
          <c:spPr>
            <a:ln>
              <a:noFill/>
            </a:ln>
            <a:scene3d>
              <a:camera prst="orthographicFront"/>
              <a:lightRig rig="threePt" dir="t"/>
            </a:scene3d>
            <a:sp3d prstMaterial="matte">
              <a:bevelT w="63500" h="63500" prst="artDeco"/>
              <a:contourClr>
                <a:srgbClr val="000000"/>
              </a:contourClr>
            </a:sp3d>
          </c:spPr>
          <c:dPt>
            <c:idx val="0"/>
            <c:bubble3D val="0"/>
            <c:spPr>
              <a:solidFill>
                <a:schemeClr val="accent3">
                  <a:shade val="50000"/>
                </a:schemeClr>
              </a:solidFill>
              <a:ln w="19050">
                <a:noFill/>
              </a:ln>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1-1A48-4395-A915-060BE37314F5}"/>
              </c:ext>
            </c:extLst>
          </c:dPt>
          <c:dPt>
            <c:idx val="1"/>
            <c:bubble3D val="0"/>
            <c:spPr>
              <a:solidFill>
                <a:schemeClr val="accent3">
                  <a:shade val="70000"/>
                </a:schemeClr>
              </a:solidFill>
              <a:ln w="19050">
                <a:noFill/>
              </a:ln>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3-1A48-4395-A915-060BE37314F5}"/>
              </c:ext>
            </c:extLst>
          </c:dPt>
          <c:dPt>
            <c:idx val="2"/>
            <c:bubble3D val="0"/>
            <c:spPr>
              <a:solidFill>
                <a:schemeClr val="accent3">
                  <a:shade val="90000"/>
                </a:schemeClr>
              </a:solidFill>
              <a:ln w="19050">
                <a:noFill/>
              </a:ln>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5-1A48-4395-A915-060BE37314F5}"/>
              </c:ext>
            </c:extLst>
          </c:dPt>
          <c:dPt>
            <c:idx val="3"/>
            <c:bubble3D val="0"/>
            <c:spPr>
              <a:solidFill>
                <a:schemeClr val="accent3">
                  <a:tint val="90000"/>
                </a:schemeClr>
              </a:solidFill>
              <a:ln w="19050">
                <a:noFill/>
              </a:ln>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7-1A48-4395-A915-060BE37314F5}"/>
              </c:ext>
            </c:extLst>
          </c:dPt>
          <c:dPt>
            <c:idx val="4"/>
            <c:bubble3D val="0"/>
            <c:spPr>
              <a:solidFill>
                <a:schemeClr val="accent3">
                  <a:tint val="70000"/>
                </a:schemeClr>
              </a:solidFill>
              <a:ln w="19050">
                <a:noFill/>
              </a:ln>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9-1A48-4395-A915-060BE37314F5}"/>
              </c:ext>
            </c:extLst>
          </c:dPt>
          <c:dPt>
            <c:idx val="5"/>
            <c:bubble3D val="0"/>
            <c:spPr>
              <a:solidFill>
                <a:schemeClr val="accent3">
                  <a:tint val="50000"/>
                </a:schemeClr>
              </a:solidFill>
              <a:ln w="19050">
                <a:noFill/>
              </a:ln>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B-1A48-4395-A915-060BE37314F5}"/>
              </c:ext>
            </c:extLst>
          </c:dPt>
          <c:dPt>
            <c:idx val="6"/>
            <c:bubble3D val="0"/>
            <c:spPr>
              <a:solidFill>
                <a:schemeClr val="accent3">
                  <a:tint val="30000"/>
                </a:schemeClr>
              </a:solidFill>
              <a:ln w="19050">
                <a:noFill/>
              </a:ln>
              <a:effectLst/>
              <a:scene3d>
                <a:camera prst="orthographicFront"/>
                <a:lightRig rig="threePt" dir="t"/>
              </a:scene3d>
              <a:sp3d prstMaterial="matte">
                <a:bevelT w="63500" h="63500" prst="artDeco"/>
                <a:contourClr>
                  <a:srgbClr val="000000"/>
                </a:contourClr>
              </a:sp3d>
            </c:spPr>
            <c:extLst>
              <c:ext xmlns:c16="http://schemas.microsoft.com/office/drawing/2014/chart" uri="{C3380CC4-5D6E-409C-BE32-E72D297353CC}">
                <c16:uniqueId val="{0000000D-C659-4A98-8118-E6DBE0A6A812}"/>
              </c:ext>
            </c:extLst>
          </c:dPt>
          <c:cat>
            <c:strRef>
              <c:f>'Pivot Table'!$J$5:$J$11</c:f>
              <c:strCache>
                <c:ptCount val="6"/>
                <c:pt idx="0">
                  <c:v>Married</c:v>
                </c:pt>
                <c:pt idx="1">
                  <c:v>Un-Married</c:v>
                </c:pt>
                <c:pt idx="2">
                  <c:v>Others</c:v>
                </c:pt>
                <c:pt idx="3">
                  <c:v>Widowed/Widower</c:v>
                </c:pt>
                <c:pt idx="4">
                  <c:v>Separated</c:v>
                </c:pt>
                <c:pt idx="5">
                  <c:v>Divorcee</c:v>
                </c:pt>
              </c:strCache>
            </c:strRef>
          </c:cat>
          <c:val>
            <c:numRef>
              <c:f>'Pivot Table'!$K$5:$K$11</c:f>
              <c:numCache>
                <c:formatCode>General</c:formatCode>
                <c:ptCount val="6"/>
                <c:pt idx="0">
                  <c:v>114484</c:v>
                </c:pt>
                <c:pt idx="1">
                  <c:v>42048</c:v>
                </c:pt>
                <c:pt idx="2">
                  <c:v>9913</c:v>
                </c:pt>
                <c:pt idx="3">
                  <c:v>2519</c:v>
                </c:pt>
                <c:pt idx="4">
                  <c:v>1000</c:v>
                </c:pt>
                <c:pt idx="5">
                  <c:v>960</c:v>
                </c:pt>
              </c:numCache>
            </c:numRef>
          </c:val>
          <c:extLst>
            <c:ext xmlns:c16="http://schemas.microsoft.com/office/drawing/2014/chart" uri="{C3380CC4-5D6E-409C-BE32-E72D297353CC}">
              <c16:uniqueId val="{0000000C-1A48-4395-A915-060BE37314F5}"/>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Table!PivotTable3</c:name>
    <c:fmtId val="6"/>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IN" sz="1600" b="1"/>
              <a:t>EDUCATION QUALIFICATION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bg2">
                <a:lumMod val="50000"/>
              </a:schemeClr>
            </a:solidFill>
            <a:round/>
          </a:ln>
          <a:effectLst/>
        </c:spPr>
        <c:marker>
          <c:symbol val="circle"/>
          <c:size val="8"/>
          <c:spPr>
            <a:solidFill>
              <a:schemeClr val="bg2">
                <a:lumMod val="50000"/>
              </a:schemeClr>
            </a:solidFill>
            <a:ln w="9525">
              <a:solidFill>
                <a:schemeClr val="bg2">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Table'!$H$4</c:f>
              <c:strCache>
                <c:ptCount val="1"/>
                <c:pt idx="0">
                  <c:v>Total</c:v>
                </c:pt>
              </c:strCache>
            </c:strRef>
          </c:tx>
          <c:spPr>
            <a:ln w="34925" cap="rnd">
              <a:solidFill>
                <a:schemeClr val="bg2">
                  <a:lumMod val="50000"/>
                </a:schemeClr>
              </a:solidFill>
              <a:round/>
            </a:ln>
            <a:effectLst/>
          </c:spPr>
          <c:marker>
            <c:symbol val="circle"/>
            <c:size val="8"/>
            <c:spPr>
              <a:solidFill>
                <a:schemeClr val="bg2">
                  <a:lumMod val="50000"/>
                </a:schemeClr>
              </a:solidFill>
              <a:ln w="9525">
                <a:solidFill>
                  <a:schemeClr val="bg2">
                    <a:lumMod val="50000"/>
                  </a:schemeClr>
                </a:solidFill>
              </a:ln>
              <a:effectLst/>
            </c:spPr>
          </c:marker>
          <c:cat>
            <c:strRef>
              <c:f>'Pivot Table'!$G$5:$G$13</c:f>
              <c:strCache>
                <c:ptCount val="8"/>
                <c:pt idx="0">
                  <c:v>up to class–8th</c:v>
                </c:pt>
                <c:pt idx="1">
                  <c:v>Matriculate/ Secondary</c:v>
                </c:pt>
                <c:pt idx="2">
                  <c:v>Hr. Secondary/ Intermediate</c:v>
                </c:pt>
                <c:pt idx="3">
                  <c:v>No Education</c:v>
                </c:pt>
                <c:pt idx="4">
                  <c:v>Status Not known</c:v>
                </c:pt>
                <c:pt idx="5">
                  <c:v>Graduate and above</c:v>
                </c:pt>
                <c:pt idx="6">
                  <c:v>Diploma/Certificate/ ITI</c:v>
                </c:pt>
                <c:pt idx="7">
                  <c:v>Professionals</c:v>
                </c:pt>
              </c:strCache>
            </c:strRef>
          </c:cat>
          <c:val>
            <c:numRef>
              <c:f>'Pivot Table'!$H$5:$H$13</c:f>
              <c:numCache>
                <c:formatCode>General</c:formatCode>
                <c:ptCount val="8"/>
                <c:pt idx="0">
                  <c:v>55502</c:v>
                </c:pt>
                <c:pt idx="1">
                  <c:v>40899</c:v>
                </c:pt>
                <c:pt idx="2">
                  <c:v>27190</c:v>
                </c:pt>
                <c:pt idx="3">
                  <c:v>19590</c:v>
                </c:pt>
                <c:pt idx="4">
                  <c:v>15447</c:v>
                </c:pt>
                <c:pt idx="5">
                  <c:v>8855</c:v>
                </c:pt>
                <c:pt idx="6">
                  <c:v>2741</c:v>
                </c:pt>
                <c:pt idx="7">
                  <c:v>700</c:v>
                </c:pt>
              </c:numCache>
            </c:numRef>
          </c:val>
          <c:smooth val="0"/>
          <c:extLst>
            <c:ext xmlns:c16="http://schemas.microsoft.com/office/drawing/2014/chart" uri="{C3380CC4-5D6E-409C-BE32-E72D297353CC}">
              <c16:uniqueId val="{00000000-9598-4E04-80FC-2F7B3129F170}"/>
            </c:ext>
          </c:extLst>
        </c:ser>
        <c:dLbls>
          <c:showLegendKey val="0"/>
          <c:showVal val="0"/>
          <c:showCatName val="0"/>
          <c:showSerName val="0"/>
          <c:showPercent val="0"/>
          <c:showBubbleSize val="0"/>
        </c:dLbls>
        <c:marker val="1"/>
        <c:smooth val="0"/>
        <c:axId val="151583200"/>
        <c:axId val="151594720"/>
      </c:lineChart>
      <c:catAx>
        <c:axId val="15158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51594720"/>
        <c:crosses val="autoZero"/>
        <c:auto val="1"/>
        <c:lblAlgn val="ctr"/>
        <c:lblOffset val="100"/>
        <c:noMultiLvlLbl val="0"/>
      </c:catAx>
      <c:valAx>
        <c:axId val="151594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5158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txPr>
    <a:bodyPr/>
    <a:lstStyle/>
    <a:p>
      <a:pPr>
        <a:defRPr sz="1200">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[Suicide Dashboard.xlsm]Pivot Table!PivotTable5</c:name>
    <c:fmtId val="6"/>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t>PROFESSION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a:scene3d>
            <a:camera prst="orthographicFront"/>
            <a:lightRig rig="threePt" dir="t"/>
          </a:scene3d>
          <a:sp3d>
            <a:bevelT w="139700" h="1397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294167622271839E-2"/>
          <c:y val="0.10921083395122463"/>
          <c:w val="0.89025680870516544"/>
          <c:h val="0.46012589441708301"/>
        </c:manualLayout>
      </c:layout>
      <c:barChart>
        <c:barDir val="col"/>
        <c:grouping val="clustered"/>
        <c:varyColors val="0"/>
        <c:ser>
          <c:idx val="0"/>
          <c:order val="0"/>
          <c:tx>
            <c:strRef>
              <c:f>'Pivot Table'!$H$19</c:f>
              <c:strCache>
                <c:ptCount val="1"/>
                <c:pt idx="0">
                  <c:v>Total</c:v>
                </c:pt>
              </c:strCache>
            </c:strRef>
          </c:tx>
          <c:spPr>
            <a:solidFill>
              <a:schemeClr val="bg2">
                <a:lumMod val="50000"/>
              </a:schemeClr>
            </a:solidFill>
            <a:ln>
              <a:noFill/>
            </a:ln>
            <a:effectLst/>
            <a:scene3d>
              <a:camera prst="orthographicFront"/>
              <a:lightRig rig="threePt" dir="t"/>
            </a:scene3d>
            <a:sp3d>
              <a:bevelT w="139700" h="139700"/>
            </a:sp3d>
          </c:spPr>
          <c:invertIfNegative val="0"/>
          <c:cat>
            <c:strRef>
              <c:f>'Pivot Table'!$G$20:$G$29</c:f>
              <c:strCache>
                <c:ptCount val="9"/>
                <c:pt idx="0">
                  <c:v>Daily Wage Earner</c:v>
                </c:pt>
                <c:pt idx="1">
                  <c:v>House wife</c:v>
                </c:pt>
                <c:pt idx="2">
                  <c:v>Retired Persons</c:v>
                </c:pt>
                <c:pt idx="3">
                  <c:v>Self-employed Persons</c:v>
                </c:pt>
                <c:pt idx="4">
                  <c:v>Unemployed Persons</c:v>
                </c:pt>
                <c:pt idx="5">
                  <c:v>Private/Public Sector</c:v>
                </c:pt>
                <c:pt idx="6">
                  <c:v>Students</c:v>
                </c:pt>
                <c:pt idx="7">
                  <c:v>Farmers/Cultivators</c:v>
                </c:pt>
                <c:pt idx="8">
                  <c:v>Government Servants</c:v>
                </c:pt>
              </c:strCache>
            </c:strRef>
          </c:cat>
          <c:val>
            <c:numRef>
              <c:f>'Pivot Table'!$H$20:$H$29</c:f>
              <c:numCache>
                <c:formatCode>General</c:formatCode>
                <c:ptCount val="9"/>
                <c:pt idx="0">
                  <c:v>45195</c:v>
                </c:pt>
                <c:pt idx="1">
                  <c:v>25307</c:v>
                </c:pt>
                <c:pt idx="2">
                  <c:v>24468</c:v>
                </c:pt>
                <c:pt idx="3">
                  <c:v>19480</c:v>
                </c:pt>
                <c:pt idx="4">
                  <c:v>15783</c:v>
                </c:pt>
                <c:pt idx="5">
                  <c:v>14197</c:v>
                </c:pt>
                <c:pt idx="6">
                  <c:v>13040</c:v>
                </c:pt>
                <c:pt idx="7">
                  <c:v>11288</c:v>
                </c:pt>
                <c:pt idx="8">
                  <c:v>2166</c:v>
                </c:pt>
              </c:numCache>
            </c:numRef>
          </c:val>
          <c:extLst>
            <c:ext xmlns:c16="http://schemas.microsoft.com/office/drawing/2014/chart" uri="{C3380CC4-5D6E-409C-BE32-E72D297353CC}">
              <c16:uniqueId val="{00000000-34C7-4399-B7C6-E4A5534A61FE}"/>
            </c:ext>
          </c:extLst>
        </c:ser>
        <c:dLbls>
          <c:showLegendKey val="0"/>
          <c:showVal val="0"/>
          <c:showCatName val="0"/>
          <c:showSerName val="0"/>
          <c:showPercent val="0"/>
          <c:showBubbleSize val="0"/>
        </c:dLbls>
        <c:gapWidth val="219"/>
        <c:overlap val="-27"/>
        <c:axId val="151603840"/>
        <c:axId val="151603360"/>
      </c:barChart>
      <c:catAx>
        <c:axId val="15160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1603360"/>
        <c:crosses val="autoZero"/>
        <c:auto val="1"/>
        <c:lblAlgn val="ctr"/>
        <c:lblOffset val="100"/>
        <c:noMultiLvlLbl val="0"/>
      </c:catAx>
      <c:valAx>
        <c:axId val="151603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1603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a:outerShdw blurRad="50800" dist="38100" dir="2700000" algn="tl" rotWithShape="0">
        <a:prstClr val="black">
          <a:alpha val="40000"/>
        </a:prstClr>
      </a:outerShdw>
    </a:effectLst>
    <a:scene3d>
      <a:camera prst="orthographicFront"/>
      <a:lightRig rig="threePt" dir="t"/>
    </a:scene3d>
    <a:sp3d prstMaterial="matte">
      <a:bevelT w="63500" h="63500" prst="artDeco"/>
      <a:contourClr>
        <a:srgbClr val="000000"/>
      </a:contourClr>
    </a:sp3d>
  </c:spPr>
  <c:txPr>
    <a:bodyPr/>
    <a:lstStyle/>
    <a:p>
      <a:pPr>
        <a:defRPr sz="11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solidFill>
              <a:schemeClr val="bg1">
                <a:lumMod val="95000"/>
              </a:schemeClr>
            </a:solidFill>
            <a:ln>
              <a:noFill/>
            </a:ln>
            <a:effectLst/>
          </cx:spPr>
        </cx:plotSurface>
        <cx:series layoutId="regionMap" uniqueId="{76C4ACBA-3E12-44AB-BA9B-33F28F3EE5F3}" formatIdx="1">
          <cx:tx>
            <cx:txData>
              <cx:f>_xlchart.v5.2</cx:f>
              <cx:v>Rate of Suicide</cx:v>
            </cx:txData>
          </cx:tx>
          <cx:spPr>
            <a:effectLst>
              <a:glow rad="12700">
                <a:schemeClr val="accent1">
                  <a:alpha val="40000"/>
                </a:schemeClr>
              </a:glow>
              <a:outerShdw blurRad="50800" dist="50800" dir="5400000" algn="ctr" rotWithShape="0">
                <a:srgbClr val="000000">
                  <a:alpha val="99000"/>
                </a:srgbClr>
              </a:outerShdw>
            </a:effectLst>
          </cx:spPr>
          <cx:dataLabels>
            <cx:txPr>
              <a:bodyPr spcFirstLastPara="1" vertOverflow="ellipsis" horzOverflow="overflow" wrap="square" lIns="0" tIns="0" rIns="0" bIns="0" anchor="ctr" anchorCtr="1"/>
              <a:lstStyle/>
              <a:p>
                <a:pPr algn="ctr" rtl="0">
                  <a:defRPr sz="1800" b="1">
                    <a:solidFill>
                      <a:sysClr val="windowText" lastClr="000000"/>
                    </a:solidFill>
                  </a:defRPr>
                </a:pPr>
                <a:endParaRPr lang="en-US" sz="1800" b="1" i="0" u="none" strike="noStrike" baseline="0">
                  <a:solidFill>
                    <a:sysClr val="windowText" lastClr="000000"/>
                  </a:solidFill>
                  <a:latin typeface="Calibri" panose="020F0502020204030204"/>
                </a:endParaRPr>
              </a:p>
            </cx:txPr>
            <cx:visibility seriesName="0" categoryName="0" value="1"/>
          </cx:dataLabels>
          <cx:dataId val="0"/>
          <cx:layoutPr>
            <cx:geography viewedRegionType="dataOnly" cultureLanguage="en-US" cultureRegion="IN" attribution="Powered by Bing">
              <cx:geoCache provider="{E9337A44-BEBE-4D9F-B70C-5C5E7DAFC167}">
                <cx:binary>nH1bk9y2rvVfSfn5UyLepV0750HdannGY8e3xEleVI5j60JRokhREvXrDzrZJ+XhnvHUR7+4PD0N
QSAXAAKL8L8/7f/6NHz+aL7b1TDaf33af3zWLov+1w8/2E/tZ/XRfq+6T2ay05fl+0+T+mH68qX7
9PmHP83HrRubH3CK6A+f2o9m+bw/+59/g7Tm83Q3ffq4dNP4xn02/u1n64bFfuOzBz/67tPkxuX6
9QYk/fjsZvyz+/jsu8/j0i3+vdeff3x27zeeffdDKOe/nvndAGot7k/4LsbfE4ZZmjGS//3n2XfD
NDb/+Vjk3xNOuBB5lv71h//fo199VPD1J7X5S5ePf/5pPlv73X/+/udr9xT/56ednU5/v/Npuqp4
8+qvd/rhvk3/59/BD+Atg598ZfZvffaPec4fl4/lX3b96pvf/vT/TB189VvL8/fK3fz54zOEyFer
dRXxn+89YNt/fv/zR7v8+CwX31PEcJ5mBDOUM4Kefbd9vn7Cs+/h3wjWi8GnOL1+Mk5maX98RsT3
qRCc5TzlOSEsp8++s5O7fsS/FzylJM8EFhTxPMf/bOLX0+CbafzHDv/593ejU6+nblzsj89Ajv77
t65qJhhRQQX6S77+9PEt4AN+Cf2/HHcrt8MuyoW1Q1sch/cfWsz3vxf47/X9/xAP1vtafC8S6bd9
FGVrZmPebvxIm/fNfkxfvjLzA/JhTz+oPr4vP1eHzJyseZljZo83Gqk8LVrSM1SkNFW4oGRe6su3
H/aYrWCZvn4ZC2vUb83Iy92SjBRZShpTTJ5nv39bvnjkZdL78kU+p7rPPS8d0vQlQhtV77a0T/md
z5ZxrxJxcFMoP+u3337gIy+U5fcfqLNUr+L6wHXIxX47ta52J2pd25XffsBV0AO7K8vuPyDrji1d
HGHlJq3YbrknNT5paXF7x2Tb45fISSdPs51HL4p0oGi+pGO7mufffj66mu4hBa6m/mp7a6GsZNaz
0jXNOp8ynFWCoC9aknmTxdxsqyqcF8ndtDVIlg5PUzYWSZNhdfdtFR6z8XXnfqXB0Hi1DmwDE2SY
nYiZvgi2dU+832PC2X3hEyB1y/zCSu+t+DWd/FTUq+t/ilP9+tSvVc/6jltiWClJ131OIdDejUkn
3SlOfOAbpmRjem4ZK4dFrL+gbabFXh8izvNkgWcww9ZrjWdWLlNyHGW6J6s5cz1NIlL9wBvgvUGZ
H3rwBhN1/clzvtNingFK5zj7BO4A9z4ZJ6uTapy84K9tZ9vlF7UsyRO+85HNIwL02yx16bazrDom
pErf0MQUeyetecJA1034APZEAP58knRw2NfVlGSHumwG6bUcNo+689y1NI98TABxQqc623QiqmVx
eHk+8mlMy2NEw17qbtn2OKiJAMfztM412VVWaSyP99L49qdR8Pz9t9f6MVsFQN7knqEN0oMKJ3tX
DtYIctdQP80fJMvk/oSpHlvx68+/AnSbNVpmQmeVGai/SdSR/pQ3yAzFt1/iMfHkvvip7nwKxuGV
EzPei7Tf6W/8mHQZJz5AtFvFJLKU82odYAWWoVEldYnQkdoHeHYdGf3g+6yidpWwBj7bk8Kmvjsi
HxDgWeYJm/MdrJ8jNY83GrFxK00vju11lIF4AGiBPbEo2XmV27b7RWTWvt67ZvZP6H/d6Q/gmQd4
Vvm6sd41olKDneu3QqnZ/ULmI09vl6TNxRvISQm/iXuXANXCG5KnKROVJnTpni8H2fOilWpL4/DM
AzzvnZ/5go2opG00vbEKr1nRO2qeis1XszxkrgDSvumbVG2wn+baa3PuGyLEa5UcK79tllrJcm+w
H38dVEZ+d2OzjU9Y7rGchwcoH/amFtOxgd8dskHftomtBWT2Moe0Llu2ni7FuPTHeupartVF7kcj
zpxuZHq3pgt3kQYOvIGveSIymdSVEok7k24TVSYG8sRmRFdYPmRefN/ZsHXZuxnPeUXSw0zlgep1
KVl9HMNznRPhf2qsmr7ohG7qOT2ykb3aCcHjSyyyrP81k5ixJ1R5xO3xwHFkY8/0tHW00qK25MSP
/LPe922Oc9o8cBuDIRz5vReVSfRWNQuiQ9GQrPkzCmgscBoOGZ71fUOrRu/ZbwxC6SubJirOZ7PA
Z8ykGfskEXnFBjjJnBzK1FG4znj7xC57BGUs8BO2mz3Du8mqxW81vsmoMekfu0aAuBa36VSMndOq
wAfXzSetDovjloUF/oNs4wCbyPCKZ7VyhZ6xVYV3NIkMFyzwHwc95Oy4EaWbGSq5X5vzwafkHLfs
gZPgdZ6O/bwflXXNUh2j6AtudP+ED3oEEizAPkdpm+wQGqoed+qEF9Sfaz/hyE0VQB9OPVOGuumo
MJwbi7RFH8aGPpW1PqZ6gGbE9Uj3oTmqRvjlpfNjCrnA3KI+ct8EcG57t2hi/FEltcpv8LrLc00y
WkUtKw3QTPTK9CJB+lJjetqIsIVVqIvTnQZozkZ8ZKuAZU0W3J4kcWvBpaBxfpQGUO7TxKRbbY9q
Rt1wsfnYnFZGj8u3LXOFzQPxggZ4HWvWHgdKtmpL2Gc4dsr1Qhepx2rZBI98gwCyZBXr2Mt6qwgA
922+TH2J6CTjjuM0gOwyQiq0HXyrJsr4TZYzd+79GOluaABZtKihzo7eVY0d6ItuUOKl3odI1QPE
QqCupURkqeapr9HJMGxPot1le/724j4CWhqAltWNlckBZR49dvutXJrlztX1EAmqALJQH01W5Prl
Ylyz2XdkS7PhJ2Yy3sbtGxKgVqJunZsV75ASuuMkNfvN5358YuM/YhsSgJb1iaRZVq/lPLSoINbh
Ys5zF6l6AFqie4rrPlvB8slvBkN+N+Z7HbesJMCs1IdJEsv/ozrFMy7YymNVD9HKstplLVrLfIOi
Mb5Kt/GGuS7HV2dtma66HixI3/u8PblMuoJz3EeaPUBrS1k2pTgF6RR/njs6XJquiaxskQCtEtpt
WdeA8PxwqhpEbuDkxfe43ODa7PjaMPtCRD14uZZsqbdiRysukK6XuBBFAqyqVuNxIqkrx/UYi63t
Prv+QHFWxwFO7WEWPbWbK5VsacEp+y1ZLY4UHuA0rZkhvk2WUszpeLZ799G6w0YKD2A623zvIRN2
Zc/ztuB9NxTOYBEpPcCpIH3SdEkOqucOvbTQHnldi2a4jXLuOMDp7igeKUiuDgTN3uIYM87OyZJk
Nm7P4ACqeN5z5XSzVp6q0RQJ0azSG14+xekfYBV1NTbTriCy1na4zXuLzlb2voyTju/DyZlak8Yz
Vy05+R31+I2l5E2c6BCp1vfK+2SpujZ5Be7xN49FZK0QBzjNu04JNIql6rc2O7uWvZ9kPcUtKApw
OkqbmDxzrkq6pTsNvbgTeE7jNjsKcArt203bPUvKcdj/7Dz6gJl6EWVwFKA067YmgXjtKxBrl+LA
tuWFt6SJc70owOnaMNdKapYKaAXpr3QBP1DY7kBxmQYKgOrmAadDPblKTeY4T7v4o+10HWn2AKR1
1s1i7YyrmDf+pJQG1eVTnderkAcOB9cm/9cxKR857XSilgq68vnLzDbo5ZDU+kPcsgYQxQtezGI6
2I5t3RZEbb+KrItc0gCjB53yvm6lqwxbSYGy/bdhzl7H6R1glG503zoCspPevqfOv2TUvowSnQYI
nba6bhbSLGVaJ8kp6eu77kgj6wNpgFCEtBZHgpOSp/lPyovfMuOHONeSBhBNWsjTzQQ2GdrxzdRM
l1q1cZ48DdBJ9ebJDgX8cjrW52bDLyiLi6BpAEzt2cInDWc7rpq7bNqr0dRxbdY0gGU3LHvrHCit
1c/H6k69+CVuhwSQHPLe6EPCItJW/mH2/E128Dg/lQZ4dPMqd7/xpfK2R+8Pv+Cqd8Se4xQPEEnG
eh/7Ll8qmwCVAI/yeV7nv8bJDhAph84ygdKkZB1kt0nKP9KcxAU2mgeYhI09z0MKIbnt+F4wS5Nz
nos1Cjg0D0CZ2VUslK1JOfN3ZjpnUMWOsQnNA0S2TTvTufVL5TIgc2zE6gLN/H2c8ACTG/S7vB9r
W6JWP98G6O3PpF+idgrNA1ga51KZDCA8G9hr4vSnjnoTaZUAlzllPp2z3JZGkdcMZO9ujZUdQBNt
nSBkR1A2xiS9c1nT385055FWCdDZWroOkM/CRmEHL460/3ngbVSCRfMAm3vu6CZzQP5O/NKfUlrz
6YwhA+qiXAvNA4DqTdEaejVL1VD9MdnWD9B8+DlqK4ZkrZWQ1HACdnGuYefZya4gGRZReQQUhO5n
QKZdBdSjd1B831+7Kb3d1zkSoVmA0F6JlIqW2CqT5OUAhMMyEwLHWTwLEOoaA9xIty5Vqoc3NBlO
vWmjkhSahfhkyegbomyFMcOnTSFzQrT/ErecAUA9dBRsphYLbAb+W2P3206wd3GiA3zuZqllhhNT
eTRsxTCJ+TKqPo6GQUNi1cS2MV+BK1RBC+k4j8f0ShD7FMfg+vb/nYjTLACo09jKFm2mmoBrMxTW
meRFsqb+bZxlAnhuCQGvSB2s6Or/tJDB7Tb7I0p0yKZaIPC0mk+2krx5u2t9kyoVtw9DItVaZ5L3
AzXVsc5tuW4NPifD+ClO7wCc3UFra3Zpq7zVJ0n9K5U9lXZecfLAYoaUqS2BevCqhalatTJXGMH7
lzPXe7H12PlTnP4BSJkc91FOzFRDR34fWvoh0fJ9nOgAojswHgcuagP4X+3z1RpUoJXGteqoCFDa
4JZ1hmBQnKIPak3Ggib6lzjNwxi6z1qatLUVwx3dyoM4T4sxG1p5jntAgFPaNk3msgG25J686RR+
381xZ3EqAowOHZvhwAyia5+/WdLup5rwqDYUDQlSQ+ZrNa/eVKRWuEoyvLxBzdZFMX1pyI/CYk3Z
2sFOrNPDF97MFaGR7DTKA5iqvU6W3bamGledFukqLvPWxFWHaciFWgx1juZgcnCPL1aPXwxsj8MQ
D+CZb83g+rkxlaibsRCHf5GbLq5vRkOmUw67JN2xNBWa1tcEzXcmXSL1DtBpOuhO8C2ZK8uzDx0y
bwY5Rx3iKA/AWe9UyUb3puJgmSIHEnoxe5XF+cOQjbSQfk76KZ+hb9POJ4PlG5fkP0ehPqQipSmc
s0aWzlXTEdUXGxQqSpcmPM4wIRWp73NgpfUecJN7dcoc52+HLj3iVjSkIq094zVw7ebqyA0+IUtf
QSSN657TkIbkkjGb2D7BdplymkrwtV7atsjyVUbVcKDDfz9BBy5wmjf7CLZv2k2cRiieVXVN57g+
Ag3pRl46lxlV6ypLrJxP66bVF5eLLfLQyOh9/ZHCKd3yRFem9fasGt4XYCF2idqZIeFIiH3P0jXV
lRs4PqUcSOwETr9FnPQAscsADDxLRl1ZKpqlQAeWH6XfxyZSfhBN985ws+1gm6ntp6Jb1M/7gOJi
HgvDKZ42lQgHdh8z/dzb1F62YWqfR1km5ButZCVeD5uu+podH9Kpbp5TkWkZZ5iQcETATzLsYVnz
sZ7tRbiM0ILVE58jHxCEVWjGyWnUK1ie2O3GmOzndh7iavM0pBwJqTBwjI2uBF3edY19s8nlXZzd
g7Da1H4jw9DMlRjz38dpQ0VL6VPc2iskH8jbQ6LRDCXzLHFKV8T02e8CmgrPnVRr5JYJIuuSJrs/
CJsqQGpecKC+FIlPRBlnmACqxifQox9AOlu9KxjSt3J8isX0Vwr6kGECnM7dDvS6DE/VymVTF9At
7sHZiG6Xp0bljXyutN/eOWWHG2JJwqulbWf2Hq64ifk11P+seZcLxZ9L6EtOz3s5Ul6IoYNifLPP
WboVB+1n8/M248SdUj+P8uPUtsl84pBY4jNiUGsvhXa7Ow8IqmQnDl3q/cbNSdZXWOwtvamnfvMn
lEI14dcEmL3+gkhvxZmIHWRuQ7ccl2bOWwu37fDhLgrj/TjbVZHx911QWr9eKE/6Pyxi81xlB87X
yuzwvme9HKzs05Vlp1FgJE/ci8Y9b9DU5Hc8G+FeWDof+B3O8q1YMTc3urPmqNIpz/xlU8NKz6uh
DStXsVEoYQ/tSk/NoNUE+Wye+1NmOiIKNXUGvbBzY+1lQItIXxxg7e3EiFxvjiNRr8y4pvRM03U9
ir429fFuQP0k4rIQGjhMtVPHpSNTxVk7QdUnKXBD8jh/EzK9CK09JJKDrlquPtdUvqtFF6d3yPNa
oROzDxj0Zq6ubD7c1gzFFQdJ4CXZCswUBBWkCuf5XtRJLot8QFOkTYLMxqQN4RKadlWD+77Y5fyF
9yYu6SOBn+zheus6inSqnHf6FdwG655PZFFxrowEOU3Lu9SNmNuqMZLeUchfgfnvlt+iXBkJHKVR
zbquep0qmTXuF5PNBxTzx2yJNHvgKeexW+CaSD5VORSVC4b7u/Zo4m6a0ZDklQKEGc30VPlJ1+o8
pVtf7XPaRZ5yQpoXGjt0JAR2JG8U20tsR3cUImFyPkcZP6R6LWre6qRdpgoaVV82TW9ZYuNudFCc
3U+FtdvMOnsxVW2aA49ssWIfTiTv8Zc43QO4rmw+yOqwroY5P7JCTDOBHnuGcRwXg+IAsZseB5Tu
DSQIMGKjcGLry67rIhOEkO+lxVb3RwMhHHo05gSMMn7SyZZWccYJMLulcFWadeMEt2qH4ZaTlS0F
nw2P4/dTHKDW9mMDRKYJ3PDoxG07kvR3ONP6uFIwDkArdjUfykK+CqWs/aamtatEuojITR/kN5gM
Lu+u0anvVHOy29wUblEqzuGElC9k0O52OCdXiR/J5xbY5p8P5VQc85OGpC+Gydi3vdQV42JNbmQ+
olNabxt7onf4yL06GhK/4G5rXfMhG6tjQMS817Jbp1MtRqzPm52S93Dh7FWS5EN/hixO5qcmh8Po
pU0Ym+JWP+SHwaVgnroe8s/Nz212SlQPAyhUO+oh7hgdEsR4Sg44s1w9U72g+oXqGrh35me/pKco
9IUUsSN1Bq7X4rEiBHWy2Ld+o0Uv6RqZYKEA3tweyowYHuAdBtry4T4Ae/9TnPIBtIdF+SV3x1hp
M9rT3pAvx8JiFQ+Q3cwHslYKVUFuexmwvMXYxpUA/rpC+RUVXSVJ2mwwQaRa6GpPMqHQatiOt3FG
CdLlpR1Mg7Z1rGpnstK1uCkU6yJDZcgT2wQMWBphRavO7Mkfqt/IJ5NAuInSPSSK2Z6OEx2RqiDX
eiXW48UwN0/McrnutweOiiFPrNmhz8jNNFZ2x+0tGkxWwLCoLS6IhVSxTfIuWyVRFZHZ1BR9ls23
rXBjGwfTkDBG830ifExVJdjYn+Y8ey4p8nFxIKSMGT02TZ13Y5XTdruzRtGTWPr1zbfX9JrZP2T4
AKT5Jv26IYjvw0FnSPlT2+TlkKJpKjmc6sa4HCvkkGWe1xknzVSljiy6aNnSX6GV5lNcLE6DWKyS
zs5r3sHeZPidW9K3Daojt30AWZhksWSpAd2husbOnYFS/uHQGLW8MKLsfnY7wmZMJLACSyRM/Xb1
iX43tizuNhNMv7ovfehG5FJsh6sPzt5oRVi1dCyLMjoJuWQaqgtprcYBmuFQlZjm7E1Cmy7SMEHW
7Pwyeue7ARgCMMLpBJcP59+OIZ/WSPnBWRcG0tS1XsxQHUb8AbWjl0q0H74Nqoe9GblOIfuaH03X
FLrVcEMQLq1OdV/M1q2fNzLHjd4geYDZDo5vY1tfza6zGgqONrtRnLmo7U5gTto95Sfcu/0woHzd
tFB2QlgXMFIlLkKRkFKW80N4ZqH+hrYF+fPYAR/h1I9jv0YVX2DqxX31s3WrNWS2Q4Va7s9Zk6av
J7jP9zZqZUNWmecdVLi2OTk3qNmn2z5F6SuMNXNPaP9XpeW//TEJiWWcErxz7mDrcMfUTzNCo3ve
yXU2FziIOXyBmXTcnmc27NNd4uFUcKdFP6vfMCL04jg+bgRNPCvyo3YwXcEnUv6kRrbjk5pn352O
pq2PP6bad+4yaoi5J8f6/RNRlL5Ydb/c+q5dL6R2G4iAGRhtkaqOHu9bBPdb3sjrnIr3Y5dpe4YD
Gz3gU7Od2hSYn6963SbHGX7bdi8Jrqf1U5zRgwM68BpnfL2QXDY16l+tuczvcIebuABLQkrclEg2
QXVUVnhPP3M8v8lR8zpO88DHwFnTq4RvsiIH8GwHTG/wZJ8apHF1hA9tlcDLOJeo5rC7rGYNszpu
jD2G7Zx7YD2cNzghNDc850MbVV2DeX33YYXmnHG6MlklOuElldtwOfTQ/Bxnp8DntL52cEYkslon
2p6T+viw9PgpO12N/ZCdgtQApU3npHGy4oPr3gGrmv6Utc3+ce9R8kRl87FHBE4nrXPRYD3L0u5E
8nO7zGbuitVAsf2m2+BG2xOH6keWPGTNAT2hcSsfmhKmm0p5cWxHwA5LhrJTR4ZPwOiOqyqRkETX
tFA7qc0ARhtxAkQ3/gEcUWQAEwGgExg4AoWAUVYI2nEL2S4LQU846EdWIiTRCQJczgPu4J5lM4vl
Jh8su0xZDn1/3qxDGsUuIOL69K+OiAxk864TCYzpgEGCcNe9+TWfRdzVViICYFufz13nTV8JwZYL
cK6zom5R3GGFhES6tYNSJHGorTqa0YtevTpneRd1jiMiAHLKNRoGMdRntHa3aU0KOvFImwcw9iQd
7LSA6OOgZZ3PF9XhqPMhCTl0HqaudTaX9Vl2+IVgyYuZx1XxSMihA1rhdWBtV591v823vbVLlTDy
LspthhS6mol29SSBzY4aW2ptaOHzgV7ipAcoTXNpapYmXSU6q18A6/XD3Pi44bAk5NA1XDTJil1X
DR4PF5cv4/N0HuKoqCSk0SV+h36KMl3V9f181m12lwhjyzi7BPDc+3R2lkz5eVG02y8Ybz9rI2Vc
URFmU9/3Le2UL/NAx/w8rvMrOUxVb6a4IB5S6Xy7741qIJEaFtcVoxvT0zGwJzzv9fUfCLMhk24F
dv4BN/wARHadCmCNnTSHicJxNg8C7AFDeuy66A5uLSl/Ghs9zUVtxjyOkAaDo+8bPVce7lxIlsNF
q+nARTbU5sW0yy7uHiQJ2XSOj/UoZpKf1XZAz/YNsACesMxfpdoH7B5y6Sg/EAynatoK+YSsL9JO
Mbhg1MDg0PcwKWmqOpYfpBDzqljJobq2neZFshXGcWruL7PL07k8NGrwRyUYXqs6I52IqsCTkIW3
JzOCuRvL9bhkluamI2nmytZKO56j9kVIwxu7buEZasV5Ny0HB+V7N55axhGJO3uEPDyzSHestXal
m1pdqoxuZ53TqEozCWl4kLIxoolyJbrO/drYDDe1qYjiV8MI/PtbWouV2noB4auD2c2DpXMxDTiO
40dYEI1p6+A2vBtdiXukT0SivoCKxB9xqxqgfZIZzOon9VKuuFVFliRwgWunaVxcC0l4DXBNU5qQ
pZyAWVNM0jSvBkGWX6J0Dzl4dNOaID4vZZJD14PKoyk7z+IME8786syGJmjELiXMqMSvR7XLP3h6
iLg0KCTgHazd5sWtthxHPpxgcjVMhKF13NQTQoOcecgXcpCM2bITu7mweoH54omM67GTkIRHNkyO
QS62JJtqgXG1vIfr1fsTPvaR0BYO+3LbDCOzhLelF+goZCrNScjIXIUGOGXS8YTMYPVDwbiWbfFf
UtPG3SUk4aSv5NBqrgfiygZuz5zzrW1P4I/jmvck5H4dcA2i7lZIrITGf1hF3qkWx12vJiH1q1VQ
Up40dWWXmrTYNa7LugYa3bdR+sgxMWR/DUjOWE4ku/B6YOvr1qlOXTzHg7lQoyEKfvsxj2yckAlW
r6SmqIeXYDhLzitmzWncXRwTjITzvnRbi2XhIL1pxu6cAQ3slE/+zzjVA7jKHtwB8BlNqXftT52a
+7NVdVzgC5lguabpohgz5SrdelFthgsYYHzERb6QCeYVHDcOs5lyaY/hgqz8+UA9i1zSAK5Hq+gx
Qa2n1FkrTmrY+xNQUuNo/9DVvx+0R+HFIrJal4lKzKk/9FgQ7eMmN8EN6PvSa0oHg3quy26Z29PB
1HDKYEx+XC4WcsAc8lByNk126fvxeH+kev+lT8en5tY/AqWQBVaTbUMOyMolMwjuo1wTDo3RUzXC
x6QHZ12KEJSrfZ5faAKl8zX5NA3j+ygghewviTCq4f/PEBeY81UPxXoAO3Fpd/trnPgAp2iYyHSk
Jr8wrUYg4PY7b+84GsYsDqvhuC9tMwdZvM4vuUVFn+PbIY3MxELyFwzimhePQbSiEP6ufIgxjpBI
QuYX/GcQXd2KOb8c19FHckP0RNtsi0sIcADTPh3a5fATPcMUruej0a9THjdNkIS0r5QBqYgoRc8c
6A/9mNzRsXsTtVX+i/IFY4RaQ0Z6xtwpVFE9wL3rdlPu5zj5QbN51GjuBzeJC53QDiPUqaW316t6
T80TvILxgZNuyOfqEqlpttX8onRiny/1uqpXVqRNU8I9VVHfNOrY2pfLUT99uOZ/MVAeeui1FP9V
qVd4XI9rPw9wbN23cT+hoRuwLqUE1A2Xtt7lUMyTgv+uphjJDLF9770Zxc00aN6qCxyse6mK4ZCr
v2lrn9QfCdmAdjemQGmVBen9sW0FJDl6vpMcZfrlausN8Zs9oWKWhTmGJumKlOQdaQqzCA2J0MRh
6QqWz1PzUZtWOVRQKTp1Qw75v5x9W3ekOJb1X5nVz8OMEEhIs2b6AYhwhO9pO52XF1am08lNgJAE
Qvz6b0d1r29N50xVz6qsenGmjQlA4px99gV2z2VAQ5/VZZhXb4o+JN32DAs5v7Y56xHxA5vv0G52
zGO5RDzNZYA1fH+Kdc9hfT8As3RDDl2BWnCCNpvGj5oOaGS6rBM/Bz3gr80yp2vJQfdN8gVXqC/W
1dP2ag/LhtSlniR2/DYBtM2WfDMxiX3OBK+bL2Ob9vJtqBcE/UDIuU9myOH21YXPF5LeSe9D2PIR
plG28L61cV9mEE5Whx0jG3qIaLXZohJ40mSxch/YUNJ1Z+QmFiuXx5Yt+wBd2DyFE1ICxiLjeuV3
HVlaUZI28UnRZHxGFSYGUYoBBrj5Ntd8HsHf7KamLp1Ev58VQEi2esKZzaPJckF5Bt3I2l5VaYay
EXsJH5Zr3K2paXMjUNnlMo7UUC7DSL/ObuClD/uWvS3tHpKjNhPr73dDBX9tZppl94mrkuR2rxqx
1KXaoVFJj9IvMRwRdp4t6g4KDYH7pdtW4+Rqsst6ORK4GqMaG8i096fAk81/n8XQTnUxrQCDzxkU
SPIl3rLNhkKNKZLEahFdbCDVokYfQcWyg7QFB51sWZdDwL2cpjNlANLomfejaPKe9/LI+2YsJr75
wQBNCZFdL5Xlam/IYvuDN9ij7vlUL93LttF6RBJEPU70vLI9SYupblIKl9gmqBJ9TSO+CJeM043c
djR+DSPLZnKvHcD8XAqWUVRQziVJUiAFLuk+xL0w/AiDlX67GamPgWoTB2+1HWNmt9bQbpFguQOT
k8NkjajlO1URNDNmzVL9nLEhFmVTWdZ9R+8jFBbNkE5raTs22ft+ITV/AT1rHo5dyCATkhOZ2PXO
Itrfxo3v9x/tqKYFihkTTen9jEXbHEbdBHrWQ9zNn5poEIRie+trzvJsSKW+J8718fe0qyoR8qqW
Q33l/bqya2LadPrceR5YAc97AjV67ZNYwtqZcfVWOV/3dd7PvfjOEj7rT1CX702B6RLeXdB5TOEO
rD4r8MNTlL5NnVn380B1CC/9TuK40A1W0luX4jE/1T3d750k9ZHQWXQPwiwZPxDR6uZp7pttf/QQ
eNAIk2j4Bojy4kTMz9a7cfzZY3LT3HR8TsLVNHWqupqpjM3NMsuMFl2apPSL4DSVP2LfV/eQkEfX
GCPtb5C2DHnnWV3WMAiKyq3dhb9GhsS6n2AelHxWsk1lqRWUjh+y0KjxPq6rNj77qV3CIZqbbjvJ
YAi/yvjWk0+EV3311Myy1oUOLoInYkekhYhm4Ha9XnfLzJ0luyPnRHOtPiK4o5oeFiaz5kiafspK
t3Ur9k7PhGmO4E/H5m6WK39T8AQYiwqQoX9oNmKwlTTT5g+cTc7UJcG0ar3pOxgcH6t60ZDXRNla
vzTCyvQ8aK157qrI8O9NIztd1KPtXZeLMa4Igo7SZDtbNVhXOk9JVDo70jgf1e71l8RJnEHJSB3D
znDDWbRRbU3ebZEdD+PFkieHod3e388ewrQD08Z/pSR4jni1GpGOBaIg+B3Kpfq9whLOik41dCj4
4Nn0KcwJYzA4GgZYnuVJv+/t2TuoZF8C8ulMlTezyzbs97v205R3Dq9pnwPxXu1bHztXP63NLm+Q
w2HwVuhhWSOfFA51uZvaLeaAxEWMOw+jpwPLIQAd2ZWSsewP61onKuR17MR+4zdbA7rYkGUlT6QK
KBQhZ2uas0XUWpTvpm2jZ856Q8sm5UtUWrLGsszCvnevhuxJd1rd7uXVMkxRVc6eVuE2QWLOI4lt
1z4DPqKhz1ulnDzCOr5217JHG3MfgIuJY9q3eOm5qmIzyN5ps90ONen6YtpN7IpUmyyCeMHYqvWQ
0O02fnKkH6DIGFPnHtuNZPQ0YW7c3U+wu2vnfA0pUnRgLp7P3sj4HCfSugdm52j8RttNqFuuEosH
bWwG1fxIlNjxOAzwbbOHqRbtesQn27oDG/rUfuT92lTXtm675AwlLVd3i6FI+TpgT1K8RDhTUr3v
8EuGsbltOnayU1vXIDhDhoUHRcBM6brpXNAn3Q0JiMMURGJysBrRh/nqwkifx0iK63VQ8lXQHoAv
bNJZ9ZLGjYp+gmr/fCG9nmClQsPRBZM9g/65/ZzsTHwZR3gBFms39j81xDWvA2QY7MSxPcf5Kuc+
nGI/fupN2pWwQ26f0NXAI2knEQIJldmHrJAbxaM/EAQ23K96WwttUaw99hRjw2PtIlr6ri0pXD0/
8Gxc/Z3aaUjLtu0sex7kLKJjM0W6aLaJ5kiTIHgMBq8KsrDdfjUdRVsmOhipFA694F3noPt8bFK4
KZagOVU3Hn9xt9eqLlvUTsAWaJ9sZZea8Lk3pnbFAGlbuIUlYPKtMWbL047fNUNPzqu1UXIFna1O
zjMYWCeZifR5jweYwTQSq/6FxFiLuaTRiudBsYJSvPeJ7NqxxK5j5/s9WsRhFXIsFlLd6i4aPsKz
d33IFmzxJVNDUrbz9LaTZs7DULVfka3S3aY+wO3cW4xETj03IUXF4bYplMSwxH2a4xryURRaO4N9
oYPjILz6ejwH+eSj9IUiK4aWrdfx+CbWBPt9BO3eje4sKOsdSMP1jUzctv4Ev8a1ucSUdS9JRFd2
IzK3bz+ycfDHenWgLucNDPofxOx4U8xb1OgPjcJm+DWZhio3NtJJUwx9WOCoUtWpmvLeZLq+3mns
TAnOkVuuvOXDnR9QDP4cXfaYuH2Iy7GL6wGXqoGkXslorh6p1tV2BDFyHJ/AWXPdM8wT+G1D2mq9
GuYQwn0G9wZdmg2D+XMKq5w1HxbqaZ5s89x8XkZTk69tk6wPXULnR23M3uQeFux2xRBi3/jbFLdz
/OwQyBh9TjAKiz6lHDspbJucY1DRpoqzUGStWWlRayTQXjftbop5XjLg3XxZqiLb2XoUbum6KzQn
u77z4MQ8SrxsM5OvfgDVqmb3VA5jETIkJpoKtDzs30sedUsF+nGzFNTs2WHjsj2HoS0qP34ZEF+W
Z1vrzx48um4aP4GNF4qQTGlBm7TnMDfxiEswk1R4fUHQJbqKwKRtCWWtUo3K3mrkDq4yvkVybRTK
xjTkxDz4t6HCUDQduTvE0P0WSpk5bxMG4wjDx4+oer/ynj0sMYIZYoclmoYLE3ugG+pP/rlu5d2a
yGKaY6yMOCZXTa/Wsdi7DtOjiKTP8eDnMzLGepPHnUqu+lTLYoHE9dESJa6jLhtNQerpHn2GW6+o
yhhfcc/IMN/rZm4gX49hBXvUslPTXTJoH+FdAYeFG8nrpOym2W1HFrfp+hCPxMDQGYN7+ZKK0TfH
VSF66XGmTfJZWMQGlTatgC2JNnL8Poy6yo7EdJ4+YKCZjE/W8f2BpUrFV1pNU7Tl9gJfjCl2XCgu
wIEUV2us0ZvsYy1vKmyZeitEmtaPAcyqqNg4Vu+T3f0Mwb1KYuoL2GRWfZHJuNUPvQWGiYtXq/mQ
BOi21RESyPggqmQcS0Mqqou4bVR8ly76khTM7aW4FqDuNnUhxcpoOSwziRccBJrxcXDZoRMK1lz5
PkAa+6KhoExea8unWzMuKOuLpu6iIu5gPYhHV2xrnnmOTYIu8NY41dxrFJXZRtAL1g6TXPgEGI+M
pSSN3LnFyZAPy4SFWVDG57IPzTJe9RveJ18YMX490qxXMTJwDMz14rRNRBky1bzJldW5TeL9uIhl
+zyOVUPR8rCqs/cL2HrY8QxK+vY6abXH7L8KDyJcgnd3syc3VoieHASSkzaUbyh1S7OnCXv1ao3q
c89H5l4WVcXr02iWuMBsbqZfg6r8WrCtjUrdNx/ltiz5qqP30EPFNWHSk5uta06N0zB2SaHrR7GX
FPvupM4zNOQzaL/9szOEnmhP/dU2LfLghyy56cG//6RQUBVb6L7XMLJ+iAFpPTYx5TViCtwz8+v1
NOHNcC18HX7Euotf55GJ5kTbBvKCvbO7vJsjah6Jh/8w7O/ZHZxDl1zwABeVhexXKFvm1xqQk3lc
Iw2CuduyYolAuagi9irEaPMwiTuMIeExgMzdxOSW1DfY4tZzMIJ+xO5eH3ra8T4fhs2Be4OwE8p8
VNQeCRBlj6WD67N47BlVe2qXrD7gwUBgGK/D9c7FDyFq9yGlaXrNSY8HLlGmaAn/oJgZPsa72h4E
192HmmgLItWi+n7ON9JKb/Ma/Vs4BoQvhhNfaf3K401fuy4IWXbjzIthX/btOJqOXQcQctOPPhLZ
c608eDgldWMWnaohW73KK6wVAeOH0JAfrauC+8gY5yFf22ETICfHqw9le3G4OKuw7TACEiYOGlnR
82zxlG1tMnVlzdc4ul7jFP4CEEp7cm2auJL3NtqsO65wriCvO1eUFzKkq7tZUs3qr+jFhhmhGTSi
J93qNr3ttlUhvrgeV2ytsTbiNVmUJg9zsiT6AOORMMJkw/LmPEWrVF8irEyEsLHQsrb0wk9LHgCc
VwfplqwtjELV7fMqiZJE5YGFpX3bEEI/367btO7fEbPmUeA3TjC8vRUWMtN5Bwlcd4AvVEWvjFBt
92GLgWYdpjFNhqPLsPGV6NHr7DxfCKWHORto8gCZWMduwAhP4jKWG5PnGELA7WeLt+jwsFgnNCmC
rNfm2s42ITyHRY5A/bd3VIUPAHsyClwHJOT9xlplsRM1Y4YaSg9Y+s894Bf/pWe9PKeIrQfkM/js
S2yTPvo6gDIA4GebGDJEMVZpCjwdqPzzall7JMCYZSvXoTbiE4dLhXsVviHis7WzpF3JsjlCsVKN
LFqfud+7rc4jSrMEVU5lhkJWiaL3dhdb+JlWnVQ/TAt95kF0COJ8CqrZJCw02GQekVrO+u0wrvAr
vpJtRKdHjvWJPZgk5lIgIB4pA/zdjBDqn7qENP6U9E1PhjLdzWamXHHOawQbTOio0b50cxFQpKKw
Rt3j/IfOoUT0V7Kve/OqbDStx6mLnDxbKxeGO7ZLb8qZqm392ksGdR1vemm/Ot/P61HXZIgK2S/x
TTvXFS9mUDvcbei6tMYtyVrIWy3mRoXR64wOa+YwSHpddvg+Q/I/V7dTTecrX23iaU5ocDZ3bN/1
Q1BK5QZptzlkjvWSIDFPdNMxeIHyRaBj8aeObPxA+Z5GeSOXLLfOo4jO3eK8/ZDFPmt+rkjsEYe9
J6QpuYen15TXFtEppwrd420Lxzk8ekk8JNdVh9jhG12H6ZPEHmrKxLk0VjlpweR5tWrvIvRdgURX
246H+yqjLM6uHV463Tfvk/YKnW0sv0yo8bOmYLIm7RMy1hrUQl088HbJ8aSxpBDYrANAigh60D1r
4vZedJ7shcGq/9jHbDioquVjvrBquZ4IgLk7wHAJexTjxvtrvxr5HQDjZ0S/OMqRFMShbJgQfUSf
RlpXX2HTglajHrBXtp3p75wjEtIH+Ob4s8pEU+g9IEcHaiVyajOTqLvZJVbdmWqxN4vWU/cNuefu
PZp7a8ttiXAv0y177ZdLX9H3YnxSW+pfOcoaV9b7jO4TdD235cpnwxEafMnzTvsaFQom8CsyHMWG
MQS2QwvY0nX3HuIpBIuKC4AJPwPz2vs9yymDsOKMCZG0t8ks5ugxycBNBdctG+v1vPK6dgo3ZQnE
wqig6trDRhLRXWoH3n6o51byQwxR1vxzQ/uzFlEDQPYrLEgQ8myYsOlhRPNH8Xy29Nm06LCvwtjZ
nHbYRXW+LgbhjDVdmjfBBktfE780axEGG6N/z1K1bnm3ChV9adu4+i4uFdFJbDBP+Bi4fne9cumZ
AOqI62Ie0n45SUTdiEJyM7xPDOs2F0iiKZB2Q9KDkqn4DdPukx0XIYgDbFurFM25IMlxo5nPPus6
kpDVt7IC4B3JAYZfVsN5o0QZNPhrxqfpTaktibHZpU03vsKAUHaovBufnDqXhh9AhOr9xihavQ+N
2iVDrH1Y6e3Q+HT+GFWEs/cYSTDsBxCTBoBfV7NbOZkeGwhpQkHrePaPRlaZhlwJI9O05jV5bCPO
MaRBZUNumIdP7lGuhtNycztJDitf0YyoYdmeYfUdp5+0keuHKErtJ1Fl8UdQmtx+NVXQtp2iCXjP
poZtPfBUwKd671b9Cde8vxnjHmxN3iFXHtY96XSeGinngmk0brmOqv4zBOhbPjNoErVOPb8xm44e
M+63Oy73RhynCo4iB8XCdjUjLeUq1oqcU0SNY+MbE/vaoIsJD7qeIIpfV9hY5WxGy/rsFzgXf4Uv
DuAGG3zafMbEI0FvtAZcB+q7DtuCTOJkQiGCjgiQqPvYbBxlaQKEDBVWSzoWwfUY2RKlgbqDHZio
AQf6hU6I38nM3l5RTfQrUgW6/omKCd4GG4JFnlqcSJ60l/q8wN4dnM8NIN/kAdVglhaJxul8nKbK
T8durrqmoGmm/fcLhfs8jWoYbrYs2xV+Rx/ZJ/TLXj0kdeZvUF62yVEIHU0nMIMz/wETlvGAbWIc
j4axzpa0WVUMFijyjg+TJ9hEYPtyjXsBlK3SbNIAkDy4+GsI7slGTbcWI1tidR1F67BfwVVv/xEx
pIHlComnN/U+bVg+lcDl6D059DJd0GY6f51MMerYph1vgm7YE0j5M4QvsC0FfAf/kSTNqs/RDpXE
UUD4FT4CPt1WvI0siX84YWqaIdqp3wF4WbXo8Txi8NZ+bfbZDgXuFHwcRN+gF8COqdahaOZKw5Yf
nlzyDs5/AnCN53o5b1M6i6sM0fZI/K1WLto8YnDzPHqZXBZh1K11jfZ9RvOGzacvu91Kf3bQGsmc
TptTWMYY474veIFWZ20cqcsVRvEEBOOBpvHrlKJMK1cvTVNk6cohYXM89K8th/tSSQBqtJ8VILo0
H8alaT6SbcfuUUcRj695Fg+sGCRVtJwA8q7FNK5AbPOGh60uO2hmyUOqZyM+IOemXfMAc3N9WELF
0A/TPUUZI3Xs3iKDsJCcQcEkPyCiac2umqB99sbxofwniyqV3zIbq6xIVdbTR1V7Ai9wjV6jae0w
PAX4UvRH2lkyhJzBQ2IFLt+Me52nysE1Bg/1Vh8xJMmqGXnx0lZ3zUTa/RynZBvvpMb4Iec68YgB
0I15Jyxpm3u6VyPodhXpxxPyGCL6CDlwxrGmTLJ7jDXHoI+IJfXmCAKnHgoMC9nyffSDjZD7uTtx
jhQAws9EDZc7xNFXlbGRukNnj25vuF8Ai/cFZEPOLjkshmJ6Qzhl6GmZi8ZThJDk5vuoe7mVFeeV
u/LYr31pmNb9QSWJmEuKoCXX57MZQnNEm6HQL6dwFQSnWF1S7xACOJVd08rtunIkEwXkT7VkJQxG
CBZUWw2gaWDCP9XXfN2SvQBYrNNTGNMJJJQZBV6O8ULc59BB71054zFQx3Rb4vk9a1mvIjQQceoS
xDjDm+en7gcFmWKPwa/Dy3RAsZgWkTLyilNNw3buY5GI18UgoOjWA2XYND54m3YpapAtmR5Y1qrt
U4RPI1EzAQqZluPFpB3d7yr2Nb1fLo37TRVN/YYKDDRw+KaFqq4fwhBbdCxmSTgWeNoDhc0KjBCZ
dzmxgxzf2oCmHpTVkA3k3bg1mlEMZAxd0+Qg2V0RwjSZayunRTwwbB416kXR7T/6BkO2r13np/6Y
1ukYASWadTIiYpyb9kOKmh9rmcosZUeN0mh+b3TKvMhdLGFC7rN0ES8xEOcWqUYYa7nvEi7F/auO
lil6nGrMMT+sspstjDiCULTI1hl23VCDaqPOzYBxLh6SVCdHk6H74QfEgy7zDYStNfPFjtHoNMB8
0GRtVhLGnbjxGgPSW5TYgt+iLErt86i63lxndeKnc7SoeviaEALwil9qtuMyDdGSq4z66HYiMF37
EC12abHHIV2hkCiPx0NYBmHuW+ug3xoYydaXXYGpWwhiMbtsEzXCOcnUkXsT3OrqJQFyWtARsR3d
ul9HO1LpUbLCrlOdva6TgHoKye1FnG1uOYVplMnJYHjkr1TPd/IaN46x67bHgLvQZACv5QCZPDFA
PkbMrzDVshuLjrOhdCkSPnRRjjV3x7W9ALUjg+vLkcRQDMzHNooxxuQjJpchV0gOFHmYN81K02Qs
PbltkftJp1tERjgVUr/IvE9qRAACmoi7WxYba1+ZRVjAe1any3CLwrbNjoo1i3z2HhPHUtUAvyG6
Bc/ysR1HxW+qWo39sxe4MDeBit5ekwVJUYDxILy46m3Y2WO3ZEN9vXVG9h/R7QFjBZ6OankG3iYG
DGJSWA+2pFiwmHVUwNKGB11ivJ0JeezBcr04c2dfYMxJbFxICV/X4TBgwmmXMwowgwvrsk6bR7yn
R4xSwDHDhBi1mwzPCS47NIOSNf3+EUNBwL4rVvJR7nt2ywBHRDc0qoCv55zAlJFeptOCXpGOc33V
d9nMbnc1wVAgpmFyX3y7SADb/QJHnKOr9RaaPPaYUGB0T8ElJLMVa8GBcNivw4okhscJbiKWHi8O
xjGAjY2tAgjDLteukIP3fRkGcwlKdJbfM1Ol4zmFQN2f5lEvSVmvQY+31MJ+Kd+qnsTndNcsuY1s
HEdHDN1dWypRS3SderYatVEytMm3LeuW9Kba6257wrgldZgjNZXZfyQjS+rvup+IOpME2t0zaX2Y
72CDYdyLgsc6qpqRpdttnEY2/Awz6/Rtuy5DdtgXJoAMShQiOSbYC4aFLQwfeTW79G4hg/WFC0jC
PRucQlcuO6V9AbEHBwkkTS988VUcJaj692pF1PVH4vva3hm3x+N1hhzH/XKfswriHenCWrQ2S7vv
gBQj4LJMRNoCO0cnU9gRz/lwQE3d49WILfTS5Xuj/YOMzJoUIYpig2UiZgP9j2aXayc1QCzUEIbJ
B5utKoJ/Rpu1P5bLm/FHtgCFhjkCq8/zJEOMqQrKqefEGOoW1NqYa5l8USkcSnyC4LMMgwJSJpRF
oIsl9Vzd0yZz/oj9E96eqxrb9d11m95upz0b2CezLTxF1zJ3y3UAUr99Etmg14eLJ2lyssNS5QPM
m+YcZWi9lWOCyRVethjIP4oQZHZtGyhn7jHzG2DggKJ4B7A198CsGIJYU+a+LUs0ixxCOeoB9use
cJ6ZmyfQfmKUQitCxp86MHXxQkRmDLxI5Soq+ZppIqGcGAnms8B/KzNPLm+hX03zSYAXkxTgcpjl
HTBSDbAYcA1x34BV7G2Uc4e6tcsZtle357WaoF7KEbqAhvO4Qe6MsKtxS3nzBY4BGNnki0co03w1
rI61XeFn+OGjACV8Y3FpkgbUpPJfrXGwm46YuMLQNXEFAcMN6KYA4FXA+Dv5mOCno5vVN7U+y+Y3
mBl994aRxAgf1IeJWnMATLAvEA1EVXT+12rZyBZsqk4wnt+2kvAOENoeGvaA2eu4lLyCmcGfY+T9
6pTFQzoO02jVgcjPXfrC1z8nFvnVIIupZN1QdKtD0j4JoBUt+5OSsF9DFCe4j8qqzbIj3o8EEJJc
yZ3FNm3/iSb9dwzYMKL4R+YagDDqwLDEYCTC8pubqXU3g48meHpasM0AU68dYi4yOdPHzQK4RWfV
RaTAtAT36Y8pgReW3P/GnvuFKFlvwL7byGTHCem8qmwh0roDGXYuUKhhko4puPgnzhm/Rw78hdts
ZotHDRz5Iwwu5uzZhalaSl23aNI9Xklw24WdiUI5uoXxn1zh3yEN/+q21YHviNcIZUcukDHjYKN0
mIE0/5MP9HtH/4VNqZFQabNGMjChhu+9iV+90NU/kT/83rF/oTujPp8HXVfsiPEzOgUTzu2ikj95
8F8Yky6O3TgtnB2BQB9ARMbYIwbk+McP1O+d+S9052rDbJHJlh9rElm8zNcqjxu89v/c0S+/9b+R
PWmvE7DdcF3oPsBr2kmkpu7T8x8f/HeeUJL848G5wQBVbx0elyaT9IcFmOQLwgNFTpagg871AnXB
CaI9pv9U3GTyq+1WI2qfwYOIHRHvyz6ls7H3XQxc9Y8/0G+b6/+yun813cq6kAAPqtPjIGQD6FmO
wWO0gv/eQ+z4a4qSG38zpvHIr1rdvXR7+xLjSWOnyrZLgyalbg5IG/2xrUmjae4y1GJ/O7t/f9v+
o36fHv92Hvav/4mv3yaNLr9u3C9f/vVlGvD/f15+5v9/zz/+xF+v3qf7b8O7/fWb/uFncNy//97y
m/v2D18cUJC78GF5N+Hp3S7K/fG//u0M8QEuB3qcMKt/mf7HIf5P3/Tb5/jdA/3L+2/n9RL0+3/9
5Q3TG3c5P3jnjX/5+z+df/zXX+LL2+ff/8eRfvs0f3QE9Q0fevmBQ1P6b5CYMoIBFxr+y5+//Iua
RviQ/PbPmfw3KNl5lkkoNy9/sCng9/23i/l71+D/9E1/vy9v6v2b+ev/AwAA//8=</cx:binary>
              </cx:geoCache>
            </cx:geography>
          </cx:layoutPr>
        </cx:series>
      </cx:plotAreaRegion>
    </cx:plotArea>
    <cx:legend pos="t" align="ctr" overlay="0">
      <cx:spPr>
        <a:effectLst/>
      </cx:spPr>
      <cx:txPr>
        <a:bodyPr spcFirstLastPara="1" vertOverflow="ellipsis" horzOverflow="overflow" wrap="square" lIns="0" tIns="0" rIns="0" bIns="0" anchor="ctr" anchorCtr="1"/>
        <a:lstStyle/>
        <a:p>
          <a:pPr algn="ctr" rtl="0">
            <a:defRPr sz="1400"/>
          </a:pPr>
          <a:endParaRPr lang="en-US" sz="1400" b="0" i="0" u="none" strike="noStrike" baseline="0">
            <a:solidFill>
              <a:sysClr val="windowText" lastClr="000000">
                <a:lumMod val="65000"/>
                <a:lumOff val="35000"/>
              </a:sysClr>
            </a:solidFill>
            <a:latin typeface="Calibri" panose="020F0502020204030204"/>
          </a:endParaRPr>
        </a:p>
      </cx:txPr>
    </cx:legend>
  </cx:chart>
  <cx:spPr>
    <a:noFill/>
    <a:ln>
      <a:noFill/>
    </a:ln>
    <a:effectLst>
      <a:glow rad="63500">
        <a:schemeClr val="accent3">
          <a:satMod val="175000"/>
          <a:alpha val="40000"/>
        </a:schemeClr>
      </a:glow>
      <a:softEdge rad="12700"/>
    </a:effectLst>
  </cx:spPr>
</cx: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78">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defRPr sz="900" b="0" kern="1200" cap="all" spc="120" normalizeH="0" baseline="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tx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solidFill>
        <a:schemeClr val="lt1"/>
      </a:solidFill>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solidFill>
        <a:schemeClr val="lt1"/>
      </a:solidFill>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78">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defRPr sz="900" b="0" kern="1200" cap="all" spc="120" normalizeH="0" baseline="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styleClr val="auto"/>
    </cs:effectRef>
    <cs:fontRef idx="minor">
      <a:schemeClr val="tx1"/>
    </cs:fontRef>
    <cs:spPr>
      <a:pattFill prst="ltUpDiag">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tx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solidFill>
        <a:schemeClr val="lt1"/>
      </a:solidFill>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solidFill>
        <a:schemeClr val="lt1"/>
      </a:solidFill>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 Id="rId5" Type="http://schemas.openxmlformats.org/officeDocument/2006/relationships/image" Target="../media/image2.sv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6.xml"/><Relationship Id="rId11" Type="http://schemas.openxmlformats.org/officeDocument/2006/relationships/chart" Target="../charts/chart7.xml"/><Relationship Id="rId5" Type="http://schemas.openxmlformats.org/officeDocument/2006/relationships/chart" Target="../charts/chart5.xml"/><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8.xml"/><Relationship Id="rId7" Type="http://schemas.openxmlformats.org/officeDocument/2006/relationships/image" Target="../media/image4.svg"/><Relationship Id="rId12" Type="http://schemas.openxmlformats.org/officeDocument/2006/relationships/chart" Target="../charts/chart1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chart" Target="../charts/chart12.xml"/><Relationship Id="rId5" Type="http://schemas.openxmlformats.org/officeDocument/2006/relationships/chart" Target="../charts/chart10.xml"/><Relationship Id="rId10" Type="http://schemas.openxmlformats.org/officeDocument/2006/relationships/chart" Target="../charts/chart11.xml"/><Relationship Id="rId4" Type="http://schemas.openxmlformats.org/officeDocument/2006/relationships/chart" Target="../charts/chart9.xml"/><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20</xdr:col>
      <xdr:colOff>0</xdr:colOff>
      <xdr:row>34</xdr:row>
      <xdr:rowOff>96456</xdr:rowOff>
    </xdr:from>
    <xdr:to>
      <xdr:col>20</xdr:col>
      <xdr:colOff>345311</xdr:colOff>
      <xdr:row>34</xdr:row>
      <xdr:rowOff>299013</xdr:rowOff>
    </xdr:to>
    <xdr:sp macro="" textlink="">
      <xdr:nvSpPr>
        <xdr:cNvPr id="2" name="Rectangle 1">
          <a:extLst>
            <a:ext uri="{FF2B5EF4-FFF2-40B4-BE49-F238E27FC236}">
              <a16:creationId xmlns:a16="http://schemas.microsoft.com/office/drawing/2014/main" id="{13CD6D56-4904-4B7E-8806-1E32D736E325}"/>
            </a:ext>
          </a:extLst>
        </xdr:cNvPr>
        <xdr:cNvSpPr/>
      </xdr:nvSpPr>
      <xdr:spPr>
        <a:xfrm>
          <a:off x="17800320" y="8531796"/>
          <a:ext cx="345311" cy="20255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406400</xdr:colOff>
      <xdr:row>5</xdr:row>
      <xdr:rowOff>330200</xdr:rowOff>
    </xdr:from>
    <xdr:to>
      <xdr:col>28</xdr:col>
      <xdr:colOff>101600</xdr:colOff>
      <xdr:row>47</xdr:row>
      <xdr:rowOff>25400</xdr:rowOff>
    </xdr:to>
    <xdr:sp macro="" textlink="">
      <xdr:nvSpPr>
        <xdr:cNvPr id="3" name="Rectangle 2">
          <a:extLst>
            <a:ext uri="{FF2B5EF4-FFF2-40B4-BE49-F238E27FC236}">
              <a16:creationId xmlns:a16="http://schemas.microsoft.com/office/drawing/2014/main" id="{025EE22B-D4EB-437E-8E62-A24A79BB9A9D}"/>
            </a:ext>
          </a:extLst>
        </xdr:cNvPr>
        <xdr:cNvSpPr/>
      </xdr:nvSpPr>
      <xdr:spPr>
        <a:xfrm>
          <a:off x="1016000" y="1092200"/>
          <a:ext cx="21762720" cy="9936480"/>
        </a:xfrm>
        <a:prstGeom prst="rect">
          <a:avLst/>
        </a:prstGeom>
        <a:noFill/>
        <a:ln w="7620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76200</xdr:colOff>
      <xdr:row>6</xdr:row>
      <xdr:rowOff>292100</xdr:rowOff>
    </xdr:from>
    <xdr:to>
      <xdr:col>10</xdr:col>
      <xdr:colOff>355600</xdr:colOff>
      <xdr:row>17</xdr:row>
      <xdr:rowOff>87531</xdr:rowOff>
    </xdr:to>
    <xdr:sp macro="" textlink="">
      <xdr:nvSpPr>
        <xdr:cNvPr id="4" name="TextBox 3">
          <a:extLst>
            <a:ext uri="{FF2B5EF4-FFF2-40B4-BE49-F238E27FC236}">
              <a16:creationId xmlns:a16="http://schemas.microsoft.com/office/drawing/2014/main" id="{70B0166F-FA55-4333-8483-4D42571F8FED}"/>
            </a:ext>
          </a:extLst>
        </xdr:cNvPr>
        <xdr:cNvSpPr txBox="1"/>
      </xdr:nvSpPr>
      <xdr:spPr>
        <a:xfrm>
          <a:off x="1295400" y="1460500"/>
          <a:ext cx="5664200" cy="2005231"/>
        </a:xfrm>
        <a:prstGeom prst="rect">
          <a:avLst/>
        </a:prstGeom>
        <a:solidFill>
          <a:schemeClr val="lt1"/>
        </a:solidFill>
        <a:ln w="9525" cmpd="sng">
          <a:noFill/>
        </a:ln>
        <a:effectLst>
          <a:outerShdw blurRad="107950" dist="12700" dir="5400000" sx="101000" sy="101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4000">
              <a:latin typeface="Bauhaus 93" panose="04030905020B02020C02" pitchFamily="82" charset="0"/>
            </a:rPr>
            <a:t>5</a:t>
          </a:r>
          <a:r>
            <a:rPr lang="en-IN" sz="4000" baseline="0">
              <a:latin typeface="Bauhaus 93" panose="04030905020B02020C02" pitchFamily="82" charset="0"/>
            </a:rPr>
            <a:t> YEARS TREND OF SUICIDE RATE OF INDIA </a:t>
          </a:r>
          <a:endParaRPr lang="en-IN" sz="4000">
            <a:latin typeface="Bauhaus 93" panose="04030905020B02020C02" pitchFamily="82" charset="0"/>
          </a:endParaRPr>
        </a:p>
      </xdr:txBody>
    </xdr:sp>
    <xdr:clientData/>
  </xdr:twoCellAnchor>
  <xdr:twoCellAnchor editAs="absolute">
    <xdr:from>
      <xdr:col>2</xdr:col>
      <xdr:colOff>44516</xdr:colOff>
      <xdr:row>22</xdr:row>
      <xdr:rowOff>241300</xdr:rowOff>
    </xdr:from>
    <xdr:to>
      <xdr:col>10</xdr:col>
      <xdr:colOff>406400</xdr:colOff>
      <xdr:row>45</xdr:row>
      <xdr:rowOff>76201</xdr:rowOff>
    </xdr:to>
    <mc:AlternateContent xmlns:mc="http://schemas.openxmlformats.org/markup-compatibility/2006">
      <mc:Choice xmlns:sle15="http://schemas.microsoft.com/office/drawing/2012/slicer" Requires="sle15">
        <xdr:graphicFrame macro="">
          <xdr:nvGraphicFramePr>
            <xdr:cNvPr id="5" name="State or Union Territory 3">
              <a:extLst>
                <a:ext uri="{FF2B5EF4-FFF2-40B4-BE49-F238E27FC236}">
                  <a16:creationId xmlns:a16="http://schemas.microsoft.com/office/drawing/2014/main" id="{47F1AF63-2063-4345-AEE4-02BDAECCAACF}"/>
                </a:ext>
              </a:extLst>
            </xdr:cNvPr>
            <xdr:cNvGraphicFramePr/>
          </xdr:nvGraphicFramePr>
          <xdr:xfrm>
            <a:off x="0" y="0"/>
            <a:ext cx="0" cy="0"/>
          </xdr:xfrm>
          <a:graphic>
            <a:graphicData uri="http://schemas.microsoft.com/office/drawing/2010/slicer">
              <sle:slicer xmlns:sle="http://schemas.microsoft.com/office/drawing/2010/slicer" name="State or Union Territory 3"/>
            </a:graphicData>
          </a:graphic>
        </xdr:graphicFrame>
      </mc:Choice>
      <mc:Fallback>
        <xdr:sp macro="" textlink="">
          <xdr:nvSpPr>
            <xdr:cNvPr id="0" name=""/>
            <xdr:cNvSpPr>
              <a:spLocks noTextEdit="1"/>
            </xdr:cNvSpPr>
          </xdr:nvSpPr>
          <xdr:spPr>
            <a:xfrm>
              <a:off x="1263716" y="4749800"/>
              <a:ext cx="5746684" cy="5854701"/>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xdr:from>
      <xdr:col>2</xdr:col>
      <xdr:colOff>38100</xdr:colOff>
      <xdr:row>18</xdr:row>
      <xdr:rowOff>165100</xdr:rowOff>
    </xdr:from>
    <xdr:to>
      <xdr:col>10</xdr:col>
      <xdr:colOff>406400</xdr:colOff>
      <xdr:row>22</xdr:row>
      <xdr:rowOff>279400</xdr:rowOff>
    </xdr:to>
    <mc:AlternateContent xmlns:mc="http://schemas.openxmlformats.org/markup-compatibility/2006">
      <mc:Choice xmlns:sle15="http://schemas.microsoft.com/office/drawing/2012/slicer" Requires="sle15">
        <xdr:graphicFrame macro="">
          <xdr:nvGraphicFramePr>
            <xdr:cNvPr id="6" name="Years 2">
              <a:extLst>
                <a:ext uri="{FF2B5EF4-FFF2-40B4-BE49-F238E27FC236}">
                  <a16:creationId xmlns:a16="http://schemas.microsoft.com/office/drawing/2014/main" id="{25806B6B-6DB5-4D6D-8095-890A9E20A7F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dr:sp macro="" textlink="">
          <xdr:nvSpPr>
            <xdr:cNvPr id="0" name=""/>
            <xdr:cNvSpPr>
              <a:spLocks noTextEdit="1"/>
            </xdr:cNvSpPr>
          </xdr:nvSpPr>
          <xdr:spPr>
            <a:xfrm>
              <a:off x="1257300" y="3721100"/>
              <a:ext cx="5753100" cy="10668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xdr:from>
      <xdr:col>10</xdr:col>
      <xdr:colOff>673100</xdr:colOff>
      <xdr:row>6</xdr:row>
      <xdr:rowOff>266700</xdr:rowOff>
    </xdr:from>
    <xdr:to>
      <xdr:col>27</xdr:col>
      <xdr:colOff>368300</xdr:colOff>
      <xdr:row>45</xdr:row>
      <xdr:rowOff>38100</xdr:rowOff>
    </xdr:to>
    <xdr:sp macro="" textlink="">
      <xdr:nvSpPr>
        <xdr:cNvPr id="7" name="Rectangle 6">
          <a:extLst>
            <a:ext uri="{FF2B5EF4-FFF2-40B4-BE49-F238E27FC236}">
              <a16:creationId xmlns:a16="http://schemas.microsoft.com/office/drawing/2014/main" id="{3F04BCA4-6449-43FF-AF22-F18A3979E992}"/>
            </a:ext>
          </a:extLst>
        </xdr:cNvPr>
        <xdr:cNvSpPr/>
      </xdr:nvSpPr>
      <xdr:spPr>
        <a:xfrm>
          <a:off x="7277100" y="1435100"/>
          <a:ext cx="15176500" cy="9131300"/>
        </a:xfrm>
        <a:prstGeom prst="rect">
          <a:avLst/>
        </a:prstGeom>
        <a:noFill/>
        <a:ln w="3810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177800</xdr:colOff>
      <xdr:row>6</xdr:row>
      <xdr:rowOff>266700</xdr:rowOff>
    </xdr:from>
    <xdr:to>
      <xdr:col>27</xdr:col>
      <xdr:colOff>393699</xdr:colOff>
      <xdr:row>45</xdr:row>
      <xdr:rowOff>25400</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8837E558-8BEE-4044-9D80-E957CA1CB14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5783560" y="1447800"/>
              <a:ext cx="6677659" cy="92151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876300</xdr:colOff>
      <xdr:row>30</xdr:row>
      <xdr:rowOff>0</xdr:rowOff>
    </xdr:from>
    <xdr:to>
      <xdr:col>17</xdr:col>
      <xdr:colOff>12700</xdr:colOff>
      <xdr:row>43</xdr:row>
      <xdr:rowOff>106165</xdr:rowOff>
    </xdr:to>
    <xdr:graphicFrame macro="">
      <xdr:nvGraphicFramePr>
        <xdr:cNvPr id="9" name="Chart 8">
          <a:extLst>
            <a:ext uri="{FF2B5EF4-FFF2-40B4-BE49-F238E27FC236}">
              <a16:creationId xmlns:a16="http://schemas.microsoft.com/office/drawing/2014/main" id="{2E2010F4-E870-4EBF-9FDA-40BC98F1B9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8</xdr:row>
      <xdr:rowOff>0</xdr:rowOff>
    </xdr:from>
    <xdr:to>
      <xdr:col>13</xdr:col>
      <xdr:colOff>393700</xdr:colOff>
      <xdr:row>21</xdr:row>
      <xdr:rowOff>50800</xdr:rowOff>
    </xdr:to>
    <xdr:graphicFrame macro="">
      <xdr:nvGraphicFramePr>
        <xdr:cNvPr id="10" name="Chart 9">
          <a:extLst>
            <a:ext uri="{FF2B5EF4-FFF2-40B4-BE49-F238E27FC236}">
              <a16:creationId xmlns:a16="http://schemas.microsoft.com/office/drawing/2014/main" id="{AF0FF749-7D7B-4E0A-9A26-B38E050DEA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863600</xdr:colOff>
      <xdr:row>13</xdr:row>
      <xdr:rowOff>63500</xdr:rowOff>
    </xdr:from>
    <xdr:to>
      <xdr:col>12</xdr:col>
      <xdr:colOff>1130300</xdr:colOff>
      <xdr:row>16</xdr:row>
      <xdr:rowOff>171208</xdr:rowOff>
    </xdr:to>
    <mc:AlternateContent xmlns:mc="http://schemas.openxmlformats.org/markup-compatibility/2006" xmlns:sle15="http://schemas.microsoft.com/office/drawing/2012/slicer">
      <mc:Choice Requires="sle15">
        <xdr:graphicFrame macro="">
          <xdr:nvGraphicFramePr>
            <xdr:cNvPr id="11" name="Growth Rate 3">
              <a:extLst>
                <a:ext uri="{FF2B5EF4-FFF2-40B4-BE49-F238E27FC236}">
                  <a16:creationId xmlns:a16="http://schemas.microsoft.com/office/drawing/2014/main" id="{BE4B6663-D3F2-4915-8ED7-796FBD9BAD42}"/>
                </a:ext>
              </a:extLst>
            </xdr:cNvPr>
            <xdr:cNvGraphicFramePr/>
          </xdr:nvGraphicFramePr>
          <xdr:xfrm>
            <a:off x="0" y="0"/>
            <a:ext cx="0" cy="0"/>
          </xdr:xfrm>
          <a:graphic>
            <a:graphicData uri="http://schemas.microsoft.com/office/drawing/2010/slicer">
              <sle:slicer xmlns:sle="http://schemas.microsoft.com/office/drawing/2010/slicer" name="Growth Rate 3"/>
            </a:graphicData>
          </a:graphic>
        </xdr:graphicFrame>
      </mc:Choice>
      <mc:Fallback xmlns="">
        <xdr:sp macro="" textlink="">
          <xdr:nvSpPr>
            <xdr:cNvPr id="0" name=""/>
            <xdr:cNvSpPr>
              <a:spLocks noTextEdit="1"/>
            </xdr:cNvSpPr>
          </xdr:nvSpPr>
          <xdr:spPr>
            <a:xfrm>
              <a:off x="8356600" y="2667000"/>
              <a:ext cx="1346200" cy="704608"/>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12</xdr:col>
      <xdr:colOff>774700</xdr:colOff>
      <xdr:row>13</xdr:row>
      <xdr:rowOff>76200</xdr:rowOff>
    </xdr:from>
    <xdr:to>
      <xdr:col>12</xdr:col>
      <xdr:colOff>1000404</xdr:colOff>
      <xdr:row>16</xdr:row>
      <xdr:rowOff>174264</xdr:rowOff>
    </xdr:to>
    <xdr:sp macro="" textlink="">
      <xdr:nvSpPr>
        <xdr:cNvPr id="12" name="Rectangle 11">
          <a:extLst>
            <a:ext uri="{FF2B5EF4-FFF2-40B4-BE49-F238E27FC236}">
              <a16:creationId xmlns:a16="http://schemas.microsoft.com/office/drawing/2014/main" id="{E2EB800F-2DCD-4E46-A4F9-7AA8D8A8D2FD}"/>
            </a:ext>
          </a:extLst>
        </xdr:cNvPr>
        <xdr:cNvSpPr/>
      </xdr:nvSpPr>
      <xdr:spPr>
        <a:xfrm rot="16200000">
          <a:off x="9112570" y="2914330"/>
          <a:ext cx="694964" cy="225704"/>
        </a:xfrm>
        <a:prstGeom prst="rect">
          <a:avLst/>
        </a:prstGeom>
        <a:solidFill>
          <a:schemeClr val="bg1">
            <a:lumMod val="95000"/>
          </a:schemeClr>
        </a:solidFill>
        <a:ln>
          <a:solidFill>
            <a:schemeClr val="bg1">
              <a:lumMod val="95000"/>
            </a:schemeClr>
          </a:solidFill>
        </a:ln>
        <a:effectLst>
          <a:outerShdw blurRad="50800" dist="50800" sx="1000" sy="1000" algn="ctr" rotWithShape="0">
            <a:srgbClr val="000000"/>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469900</xdr:colOff>
      <xdr:row>11</xdr:row>
      <xdr:rowOff>38100</xdr:rowOff>
    </xdr:from>
    <xdr:to>
      <xdr:col>14</xdr:col>
      <xdr:colOff>914400</xdr:colOff>
      <xdr:row>18</xdr:row>
      <xdr:rowOff>76200</xdr:rowOff>
    </xdr:to>
    <xdr:sp macro="" textlink="">
      <xdr:nvSpPr>
        <xdr:cNvPr id="13" name="Callout: Bent Line 12">
          <a:extLst>
            <a:ext uri="{FF2B5EF4-FFF2-40B4-BE49-F238E27FC236}">
              <a16:creationId xmlns:a16="http://schemas.microsoft.com/office/drawing/2014/main" id="{730278CB-6EA6-46AE-89AC-FFAF9168753C}"/>
            </a:ext>
          </a:extLst>
        </xdr:cNvPr>
        <xdr:cNvSpPr/>
      </xdr:nvSpPr>
      <xdr:spPr>
        <a:xfrm>
          <a:off x="10436860" y="2316480"/>
          <a:ext cx="1854200" cy="1371600"/>
        </a:xfrm>
        <a:custGeom>
          <a:avLst/>
          <a:gdLst>
            <a:gd name="connsiteX0" fmla="*/ 0 w 1854200"/>
            <a:gd name="connsiteY0" fmla="*/ 0 h 1371600"/>
            <a:gd name="connsiteX1" fmla="*/ 618067 w 1854200"/>
            <a:gd name="connsiteY1" fmla="*/ 0 h 1371600"/>
            <a:gd name="connsiteX2" fmla="*/ 1236133 w 1854200"/>
            <a:gd name="connsiteY2" fmla="*/ 0 h 1371600"/>
            <a:gd name="connsiteX3" fmla="*/ 1854200 w 1854200"/>
            <a:gd name="connsiteY3" fmla="*/ 0 h 1371600"/>
            <a:gd name="connsiteX4" fmla="*/ 1854200 w 1854200"/>
            <a:gd name="connsiteY4" fmla="*/ 699516 h 1371600"/>
            <a:gd name="connsiteX5" fmla="*/ 1854200 w 1854200"/>
            <a:gd name="connsiteY5" fmla="*/ 1371600 h 1371600"/>
            <a:gd name="connsiteX6" fmla="*/ 1273217 w 1854200"/>
            <a:gd name="connsiteY6" fmla="*/ 1371600 h 1371600"/>
            <a:gd name="connsiteX7" fmla="*/ 710777 w 1854200"/>
            <a:gd name="connsiteY7" fmla="*/ 1371600 h 1371600"/>
            <a:gd name="connsiteX8" fmla="*/ 0 w 1854200"/>
            <a:gd name="connsiteY8" fmla="*/ 1371600 h 1371600"/>
            <a:gd name="connsiteX9" fmla="*/ 0 w 1854200"/>
            <a:gd name="connsiteY9" fmla="*/ 726948 h 1371600"/>
            <a:gd name="connsiteX10" fmla="*/ 0 w 1854200"/>
            <a:gd name="connsiteY10" fmla="*/ 0 h 1371600"/>
            <a:gd name="connsiteX0" fmla="*/ 80825 w 1854200"/>
            <a:gd name="connsiteY0" fmla="*/ 257175 h 1371600"/>
            <a:gd name="connsiteX1" fmla="*/ -309040 w 1854200"/>
            <a:gd name="connsiteY1" fmla="*/ 257175 h 1371600"/>
            <a:gd name="connsiteX2" fmla="*/ -331030 w 1854200"/>
            <a:gd name="connsiteY2" fmla="*/ 254926 h 1371600"/>
          </a:gdLst>
          <a:ahLst/>
          <a:cxnLst>
            <a:cxn ang="0">
              <a:pos x="connsiteX0" y="connsiteY0"/>
            </a:cxn>
            <a:cxn ang="0">
              <a:pos x="connsiteX1" y="connsiteY1"/>
            </a:cxn>
            <a:cxn ang="0">
              <a:pos x="connsiteX2" y="connsiteY2"/>
            </a:cxn>
          </a:cxnLst>
          <a:rect l="l" t="t" r="r" b="b"/>
          <a:pathLst>
            <a:path w="1854200" h="1371600" fill="none" extrusionOk="0">
              <a:moveTo>
                <a:pt x="0" y="0"/>
              </a:moveTo>
              <a:cubicBezTo>
                <a:pt x="178648" y="15359"/>
                <a:pt x="338123" y="-28171"/>
                <a:pt x="618067" y="0"/>
              </a:cubicBezTo>
              <a:cubicBezTo>
                <a:pt x="898011" y="28171"/>
                <a:pt x="993015" y="9036"/>
                <a:pt x="1236133" y="0"/>
              </a:cubicBezTo>
              <a:cubicBezTo>
                <a:pt x="1479251" y="-9036"/>
                <a:pt x="1697982" y="13270"/>
                <a:pt x="1854200" y="0"/>
              </a:cubicBezTo>
              <a:cubicBezTo>
                <a:pt x="1852376" y="329685"/>
                <a:pt x="1883561" y="408406"/>
                <a:pt x="1854200" y="699516"/>
              </a:cubicBezTo>
              <a:cubicBezTo>
                <a:pt x="1824839" y="990626"/>
                <a:pt x="1871836" y="1144314"/>
                <a:pt x="1854200" y="1371600"/>
              </a:cubicBezTo>
              <a:cubicBezTo>
                <a:pt x="1680665" y="1373673"/>
                <a:pt x="1550100" y="1364982"/>
                <a:pt x="1273217" y="1371600"/>
              </a:cubicBezTo>
              <a:cubicBezTo>
                <a:pt x="996334" y="1378218"/>
                <a:pt x="934226" y="1387482"/>
                <a:pt x="710777" y="1371600"/>
              </a:cubicBezTo>
              <a:cubicBezTo>
                <a:pt x="487328" y="1355718"/>
                <a:pt x="190940" y="1352414"/>
                <a:pt x="0" y="1371600"/>
              </a:cubicBezTo>
              <a:cubicBezTo>
                <a:pt x="-19814" y="1057434"/>
                <a:pt x="-994" y="1006652"/>
                <a:pt x="0" y="726948"/>
              </a:cubicBezTo>
              <a:cubicBezTo>
                <a:pt x="994" y="447244"/>
                <a:pt x="-8489" y="184036"/>
                <a:pt x="0" y="0"/>
              </a:cubicBezTo>
              <a:close/>
            </a:path>
            <a:path w="1854200" h="1371600" fill="none" extrusionOk="0">
              <a:moveTo>
                <a:pt x="80825" y="257175"/>
              </a:moveTo>
              <a:cubicBezTo>
                <a:pt x="-58814" y="260841"/>
                <a:pt x="-201152" y="267155"/>
                <a:pt x="-309040" y="257175"/>
              </a:cubicBezTo>
              <a:cubicBezTo>
                <a:pt x="-316427" y="255521"/>
                <a:pt x="-326440" y="254848"/>
                <a:pt x="-331030" y="254926"/>
              </a:cubicBezTo>
            </a:path>
            <a:path w="1854200" h="1371600" stroke="0" extrusionOk="0">
              <a:moveTo>
                <a:pt x="0" y="0"/>
              </a:moveTo>
              <a:cubicBezTo>
                <a:pt x="157942" y="-9502"/>
                <a:pt x="341017" y="22533"/>
                <a:pt x="655151" y="0"/>
              </a:cubicBezTo>
              <a:cubicBezTo>
                <a:pt x="969285" y="-22533"/>
                <a:pt x="1107681" y="27128"/>
                <a:pt x="1236133" y="0"/>
              </a:cubicBezTo>
              <a:cubicBezTo>
                <a:pt x="1364585" y="-27128"/>
                <a:pt x="1670480" y="3673"/>
                <a:pt x="1854200" y="0"/>
              </a:cubicBezTo>
              <a:cubicBezTo>
                <a:pt x="1824501" y="318727"/>
                <a:pt x="1873922" y="386624"/>
                <a:pt x="1854200" y="644652"/>
              </a:cubicBezTo>
              <a:cubicBezTo>
                <a:pt x="1834478" y="902680"/>
                <a:pt x="1872080" y="1012035"/>
                <a:pt x="1854200" y="1371600"/>
              </a:cubicBezTo>
              <a:cubicBezTo>
                <a:pt x="1686599" y="1375355"/>
                <a:pt x="1359828" y="1388128"/>
                <a:pt x="1236133" y="1371600"/>
              </a:cubicBezTo>
              <a:cubicBezTo>
                <a:pt x="1112438" y="1355072"/>
                <a:pt x="907437" y="1368667"/>
                <a:pt x="655151" y="1371600"/>
              </a:cubicBezTo>
              <a:cubicBezTo>
                <a:pt x="402865" y="1374533"/>
                <a:pt x="302064" y="1365609"/>
                <a:pt x="0" y="1371600"/>
              </a:cubicBezTo>
              <a:cubicBezTo>
                <a:pt x="13999" y="1098483"/>
                <a:pt x="4397" y="940929"/>
                <a:pt x="0" y="726948"/>
              </a:cubicBezTo>
              <a:cubicBezTo>
                <a:pt x="-4397" y="512967"/>
                <a:pt x="-25603" y="349084"/>
                <a:pt x="0" y="0"/>
              </a:cubicBezTo>
              <a:close/>
            </a:path>
            <a:path w="1854200" h="1371600" fill="none" stroke="0" extrusionOk="0">
              <a:moveTo>
                <a:pt x="80825" y="257175"/>
              </a:moveTo>
              <a:cubicBezTo>
                <a:pt x="-105211" y="244136"/>
                <a:pt x="-180538" y="251878"/>
                <a:pt x="-309040" y="257175"/>
              </a:cubicBezTo>
              <a:cubicBezTo>
                <a:pt x="-319225" y="255854"/>
                <a:pt x="-326043" y="255433"/>
                <a:pt x="-331030" y="254926"/>
              </a:cubicBezTo>
            </a:path>
          </a:pathLst>
        </a:custGeom>
        <a:solidFill>
          <a:schemeClr val="bg2">
            <a:lumMod val="90000"/>
          </a:schemeClr>
        </a:solidFill>
        <a:ln w="38100">
          <a:solidFill>
            <a:schemeClr val="bg2">
              <a:lumMod val="90000"/>
            </a:schemeClr>
          </a:solidFill>
          <a:extLst>
            <a:ext uri="{C807C97D-BFC1-408E-A445-0C87EB9F89A2}">
              <ask:lineSketchStyleProps xmlns:ask="http://schemas.microsoft.com/office/drawing/2018/sketchyshapes" sd="3319791336">
                <a:prstGeom prst="borderCallout2">
                  <a:avLst>
                    <a:gd name="adj1" fmla="val 18750"/>
                    <a:gd name="adj2" fmla="val 4359"/>
                    <a:gd name="adj3" fmla="val 18750"/>
                    <a:gd name="adj4" fmla="val -16667"/>
                    <a:gd name="adj5" fmla="val 18586"/>
                    <a:gd name="adj6" fmla="val -17853"/>
                  </a:avLst>
                </a:prstGeom>
                <ask:type>
                  <ask:lineSketchFreehand/>
                </ask:type>
              </ask:lineSketchStyleProps>
            </a:ext>
          </a:extLst>
        </a:ln>
        <a:effectLst>
          <a:glow rad="101600">
            <a:schemeClr val="accent3">
              <a:satMod val="175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ysClr val="windowText" lastClr="000000"/>
              </a:solidFill>
              <a:latin typeface="Castellar" panose="020A0402060406010301" pitchFamily="18" charset="0"/>
            </a:rPr>
            <a:t>Growth Rate</a:t>
          </a:r>
        </a:p>
        <a:p>
          <a:pPr algn="ctr"/>
          <a:r>
            <a:rPr lang="en-IN" sz="2000" b="1">
              <a:solidFill>
                <a:sysClr val="windowText" lastClr="000000"/>
              </a:solidFill>
              <a:latin typeface="Castellar" panose="020A0402060406010301" pitchFamily="18" charset="0"/>
            </a:rPr>
            <a:t>2018-2022</a:t>
          </a:r>
        </a:p>
      </xdr:txBody>
    </xdr:sp>
    <xdr:clientData/>
  </xdr:twoCellAnchor>
  <xdr:twoCellAnchor editAs="absolute">
    <xdr:from>
      <xdr:col>15</xdr:col>
      <xdr:colOff>177800</xdr:colOff>
      <xdr:row>14</xdr:row>
      <xdr:rowOff>114300</xdr:rowOff>
    </xdr:from>
    <xdr:to>
      <xdr:col>16</xdr:col>
      <xdr:colOff>614584</xdr:colOff>
      <xdr:row>19</xdr:row>
      <xdr:rowOff>4408</xdr:rowOff>
    </xdr:to>
    <mc:AlternateContent xmlns:mc="http://schemas.openxmlformats.org/markup-compatibility/2006" xmlns:sle15="http://schemas.microsoft.com/office/drawing/2012/slicer">
      <mc:Choice Requires="sle15">
        <xdr:graphicFrame macro="">
          <xdr:nvGraphicFramePr>
            <xdr:cNvPr id="14" name="No. of Suicide 3">
              <a:extLst>
                <a:ext uri="{FF2B5EF4-FFF2-40B4-BE49-F238E27FC236}">
                  <a16:creationId xmlns:a16="http://schemas.microsoft.com/office/drawing/2014/main" id="{22480269-4C8A-469E-8D1B-5526A6F7F87A}"/>
                </a:ext>
              </a:extLst>
            </xdr:cNvPr>
            <xdr:cNvGraphicFramePr/>
          </xdr:nvGraphicFramePr>
          <xdr:xfrm>
            <a:off x="0" y="0"/>
            <a:ext cx="0" cy="0"/>
          </xdr:xfrm>
          <a:graphic>
            <a:graphicData uri="http://schemas.microsoft.com/office/drawing/2010/slicer">
              <sle:slicer xmlns:sle="http://schemas.microsoft.com/office/drawing/2010/slicer" name="No. of Suicide 3"/>
            </a:graphicData>
          </a:graphic>
        </xdr:graphicFrame>
      </mc:Choice>
      <mc:Fallback xmlns="">
        <xdr:sp macro="" textlink="">
          <xdr:nvSpPr>
            <xdr:cNvPr id="0" name=""/>
            <xdr:cNvSpPr>
              <a:spLocks noTextEdit="1"/>
            </xdr:cNvSpPr>
          </xdr:nvSpPr>
          <xdr:spPr>
            <a:xfrm>
              <a:off x="12979400" y="2933700"/>
              <a:ext cx="1846484" cy="804508"/>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16</xdr:col>
      <xdr:colOff>304800</xdr:colOff>
      <xdr:row>14</xdr:row>
      <xdr:rowOff>127000</xdr:rowOff>
    </xdr:from>
    <xdr:to>
      <xdr:col>16</xdr:col>
      <xdr:colOff>594167</xdr:colOff>
      <xdr:row>18</xdr:row>
      <xdr:rowOff>149347</xdr:rowOff>
    </xdr:to>
    <xdr:sp macro="" textlink="">
      <xdr:nvSpPr>
        <xdr:cNvPr id="15" name="Rectangle 14">
          <a:extLst>
            <a:ext uri="{FF2B5EF4-FFF2-40B4-BE49-F238E27FC236}">
              <a16:creationId xmlns:a16="http://schemas.microsoft.com/office/drawing/2014/main" id="{2097DBCF-5569-4A78-AFE7-7C1F080FB034}"/>
            </a:ext>
          </a:extLst>
        </xdr:cNvPr>
        <xdr:cNvSpPr/>
      </xdr:nvSpPr>
      <xdr:spPr>
        <a:xfrm>
          <a:off x="14500860" y="2992120"/>
          <a:ext cx="289367" cy="769107"/>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16</xdr:col>
      <xdr:colOff>381000</xdr:colOff>
      <xdr:row>15</xdr:row>
      <xdr:rowOff>76200</xdr:rowOff>
    </xdr:from>
    <xdr:to>
      <xdr:col>16</xdr:col>
      <xdr:colOff>911506</xdr:colOff>
      <xdr:row>18</xdr:row>
      <xdr:rowOff>62374</xdr:rowOff>
    </xdr:to>
    <xdr:pic>
      <xdr:nvPicPr>
        <xdr:cNvPr id="16" name="Graphic 15" descr="Business Growth with solid fill">
          <a:extLst>
            <a:ext uri="{FF2B5EF4-FFF2-40B4-BE49-F238E27FC236}">
              <a16:creationId xmlns:a16="http://schemas.microsoft.com/office/drawing/2014/main" id="{3CD17502-7274-451F-87FA-813B9C2CAC3A}"/>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577060" y="3139440"/>
          <a:ext cx="530506" cy="534814"/>
        </a:xfrm>
        <a:prstGeom prst="rect">
          <a:avLst/>
        </a:prstGeom>
      </xdr:spPr>
    </xdr:pic>
    <xdr:clientData/>
  </xdr:twoCellAnchor>
  <xdr:twoCellAnchor>
    <xdr:from>
      <xdr:col>14</xdr:col>
      <xdr:colOff>1219200</xdr:colOff>
      <xdr:row>7</xdr:row>
      <xdr:rowOff>165100</xdr:rowOff>
    </xdr:from>
    <xdr:to>
      <xdr:col>17</xdr:col>
      <xdr:colOff>18005</xdr:colOff>
      <xdr:row>21</xdr:row>
      <xdr:rowOff>964</xdr:rowOff>
    </xdr:to>
    <xdr:sp macro="" textlink="">
      <xdr:nvSpPr>
        <xdr:cNvPr id="17" name="Frame 16">
          <a:extLst>
            <a:ext uri="{FF2B5EF4-FFF2-40B4-BE49-F238E27FC236}">
              <a16:creationId xmlns:a16="http://schemas.microsoft.com/office/drawing/2014/main" id="{DF21E9DC-8D07-477B-9DDD-95A78724B963}"/>
            </a:ext>
          </a:extLst>
        </xdr:cNvPr>
        <xdr:cNvSpPr/>
      </xdr:nvSpPr>
      <xdr:spPr>
        <a:xfrm>
          <a:off x="12595860" y="1711960"/>
          <a:ext cx="3027905" cy="2586684"/>
        </a:xfrm>
        <a:prstGeom prst="frame">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ysClr val="windowText" lastClr="000000"/>
              </a:solidFill>
              <a:latin typeface="Bell MT" panose="02020503060305020303" pitchFamily="18" charset="0"/>
            </a:rPr>
            <a:t>Total Number of Suicides</a:t>
          </a:r>
        </a:p>
      </xdr:txBody>
    </xdr:sp>
    <xdr:clientData/>
  </xdr:twoCellAnchor>
  <xdr:twoCellAnchor>
    <xdr:from>
      <xdr:col>27</xdr:col>
      <xdr:colOff>508000</xdr:colOff>
      <xdr:row>6</xdr:row>
      <xdr:rowOff>215900</xdr:rowOff>
    </xdr:from>
    <xdr:to>
      <xdr:col>28</xdr:col>
      <xdr:colOff>393700</xdr:colOff>
      <xdr:row>20</xdr:row>
      <xdr:rowOff>38100</xdr:rowOff>
    </xdr:to>
    <xdr:sp macro="[0]!Dashboard1" textlink="">
      <xdr:nvSpPr>
        <xdr:cNvPr id="18" name="Rectangle 17">
          <a:extLst>
            <a:ext uri="{FF2B5EF4-FFF2-40B4-BE49-F238E27FC236}">
              <a16:creationId xmlns:a16="http://schemas.microsoft.com/office/drawing/2014/main" id="{64F068E1-EDCC-4B64-A4B0-74E102AC2589}"/>
            </a:ext>
          </a:extLst>
        </xdr:cNvPr>
        <xdr:cNvSpPr/>
      </xdr:nvSpPr>
      <xdr:spPr>
        <a:xfrm>
          <a:off x="22593300" y="1384300"/>
          <a:ext cx="495300" cy="2565400"/>
        </a:xfrm>
        <a:prstGeom prst="rect">
          <a:avLst/>
        </a:prstGeom>
        <a:solidFill>
          <a:schemeClr val="bg1">
            <a:lumMod val="6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baseline="0">
              <a:solidFill>
                <a:schemeClr val="tx1"/>
              </a:solidFill>
            </a:rPr>
            <a:t>DASHBOARD 1</a:t>
          </a:r>
          <a:endParaRPr lang="en-IN" sz="1200" b="1">
            <a:solidFill>
              <a:schemeClr val="tx1"/>
            </a:solidFill>
          </a:endParaRPr>
        </a:p>
      </xdr:txBody>
    </xdr:sp>
    <xdr:clientData/>
  </xdr:twoCellAnchor>
  <xdr:twoCellAnchor>
    <xdr:from>
      <xdr:col>27</xdr:col>
      <xdr:colOff>508000</xdr:colOff>
      <xdr:row>22</xdr:row>
      <xdr:rowOff>241300</xdr:rowOff>
    </xdr:from>
    <xdr:to>
      <xdr:col>28</xdr:col>
      <xdr:colOff>393700</xdr:colOff>
      <xdr:row>30</xdr:row>
      <xdr:rowOff>266700</xdr:rowOff>
    </xdr:to>
    <xdr:sp macro="[0]!Dashboard2" textlink="">
      <xdr:nvSpPr>
        <xdr:cNvPr id="19" name="Rectangle 18">
          <a:extLst>
            <a:ext uri="{FF2B5EF4-FFF2-40B4-BE49-F238E27FC236}">
              <a16:creationId xmlns:a16="http://schemas.microsoft.com/office/drawing/2014/main" id="{51564C8B-2011-4CB3-B3B4-598ADA339E7B}"/>
            </a:ext>
          </a:extLst>
        </xdr:cNvPr>
        <xdr:cNvSpPr/>
      </xdr:nvSpPr>
      <xdr:spPr>
        <a:xfrm>
          <a:off x="22593300" y="4749800"/>
          <a:ext cx="495300" cy="256540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a:solidFill>
                <a:schemeClr val="tx1"/>
              </a:solidFill>
            </a:rPr>
            <a:t>DASHBOARD 2</a:t>
          </a:r>
        </a:p>
      </xdr:txBody>
    </xdr:sp>
    <xdr:clientData/>
  </xdr:twoCellAnchor>
  <xdr:twoCellAnchor>
    <xdr:from>
      <xdr:col>27</xdr:col>
      <xdr:colOff>508000</xdr:colOff>
      <xdr:row>33</xdr:row>
      <xdr:rowOff>38100</xdr:rowOff>
    </xdr:from>
    <xdr:to>
      <xdr:col>28</xdr:col>
      <xdr:colOff>393700</xdr:colOff>
      <xdr:row>45</xdr:row>
      <xdr:rowOff>114300</xdr:rowOff>
    </xdr:to>
    <xdr:sp macro="[0]!Dashboard3" textlink="">
      <xdr:nvSpPr>
        <xdr:cNvPr id="20" name="Rectangle 19">
          <a:extLst>
            <a:ext uri="{FF2B5EF4-FFF2-40B4-BE49-F238E27FC236}">
              <a16:creationId xmlns:a16="http://schemas.microsoft.com/office/drawing/2014/main" id="{6D4530DA-ACF8-4EDC-B573-130A6EA6D19E}"/>
            </a:ext>
          </a:extLst>
        </xdr:cNvPr>
        <xdr:cNvSpPr/>
      </xdr:nvSpPr>
      <xdr:spPr>
        <a:xfrm>
          <a:off x="22593300" y="8077200"/>
          <a:ext cx="495300" cy="256540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a:solidFill>
                <a:schemeClr val="tx1"/>
              </a:solidFill>
            </a:rPr>
            <a:t>DASHBOARD</a:t>
          </a:r>
          <a:r>
            <a:rPr lang="en-IN" sz="1200" b="1" baseline="0">
              <a:solidFill>
                <a:schemeClr val="tx1"/>
              </a:solidFill>
            </a:rPr>
            <a:t> 3</a:t>
          </a:r>
          <a:endParaRPr lang="en-IN" sz="1200" b="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20</xdr:col>
      <xdr:colOff>0</xdr:colOff>
      <xdr:row>34</xdr:row>
      <xdr:rowOff>96456</xdr:rowOff>
    </xdr:from>
    <xdr:to>
      <xdr:col>20</xdr:col>
      <xdr:colOff>345311</xdr:colOff>
      <xdr:row>34</xdr:row>
      <xdr:rowOff>299013</xdr:rowOff>
    </xdr:to>
    <xdr:sp macro="" textlink="">
      <xdr:nvSpPr>
        <xdr:cNvPr id="2" name="Rectangle 1">
          <a:extLst>
            <a:ext uri="{FF2B5EF4-FFF2-40B4-BE49-F238E27FC236}">
              <a16:creationId xmlns:a16="http://schemas.microsoft.com/office/drawing/2014/main" id="{71DAFA56-92C3-486A-A69E-4D7E00A846CD}"/>
            </a:ext>
          </a:extLst>
        </xdr:cNvPr>
        <xdr:cNvSpPr/>
      </xdr:nvSpPr>
      <xdr:spPr>
        <a:xfrm>
          <a:off x="17800320" y="8531796"/>
          <a:ext cx="345311" cy="20255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406400</xdr:colOff>
      <xdr:row>5</xdr:row>
      <xdr:rowOff>330200</xdr:rowOff>
    </xdr:from>
    <xdr:to>
      <xdr:col>28</xdr:col>
      <xdr:colOff>151900</xdr:colOff>
      <xdr:row>47</xdr:row>
      <xdr:rowOff>25400</xdr:rowOff>
    </xdr:to>
    <xdr:sp macro="" textlink="">
      <xdr:nvSpPr>
        <xdr:cNvPr id="3" name="Rectangle 2">
          <a:extLst>
            <a:ext uri="{FF2B5EF4-FFF2-40B4-BE49-F238E27FC236}">
              <a16:creationId xmlns:a16="http://schemas.microsoft.com/office/drawing/2014/main" id="{59A42D74-577F-4501-BA9F-08236278B234}"/>
            </a:ext>
          </a:extLst>
        </xdr:cNvPr>
        <xdr:cNvSpPr/>
      </xdr:nvSpPr>
      <xdr:spPr>
        <a:xfrm>
          <a:off x="1016000" y="1079500"/>
          <a:ext cx="21780000" cy="9829800"/>
        </a:xfrm>
        <a:prstGeom prst="rect">
          <a:avLst/>
        </a:prstGeom>
        <a:noFill/>
        <a:ln w="7620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76200</xdr:colOff>
      <xdr:row>6</xdr:row>
      <xdr:rowOff>292100</xdr:rowOff>
    </xdr:from>
    <xdr:to>
      <xdr:col>10</xdr:col>
      <xdr:colOff>355600</xdr:colOff>
      <xdr:row>17</xdr:row>
      <xdr:rowOff>87531</xdr:rowOff>
    </xdr:to>
    <xdr:sp macro="" textlink="">
      <xdr:nvSpPr>
        <xdr:cNvPr id="4" name="TextBox 3">
          <a:extLst>
            <a:ext uri="{FF2B5EF4-FFF2-40B4-BE49-F238E27FC236}">
              <a16:creationId xmlns:a16="http://schemas.microsoft.com/office/drawing/2014/main" id="{B096721E-1BE8-40D6-92DB-078BDCD8E183}"/>
            </a:ext>
          </a:extLst>
        </xdr:cNvPr>
        <xdr:cNvSpPr txBox="1"/>
      </xdr:nvSpPr>
      <xdr:spPr>
        <a:xfrm>
          <a:off x="1295400" y="1473200"/>
          <a:ext cx="5659120" cy="2043331"/>
        </a:xfrm>
        <a:prstGeom prst="rect">
          <a:avLst/>
        </a:prstGeom>
        <a:solidFill>
          <a:schemeClr val="lt1"/>
        </a:solidFill>
        <a:ln w="9525" cmpd="sng">
          <a:noFill/>
        </a:ln>
        <a:effectLst>
          <a:outerShdw blurRad="107950" dist="12700" dir="5400000" sx="101000" sy="101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4000">
              <a:latin typeface="Bauhaus 93" panose="04030905020B02020C02" pitchFamily="82" charset="0"/>
            </a:rPr>
            <a:t>MODES &amp; CAUSES OF SUCIDES IN INDIA 2022</a:t>
          </a:r>
        </a:p>
      </xdr:txBody>
    </xdr:sp>
    <xdr:clientData/>
  </xdr:twoCellAnchor>
  <xdr:twoCellAnchor>
    <xdr:from>
      <xdr:col>10</xdr:col>
      <xdr:colOff>673100</xdr:colOff>
      <xdr:row>6</xdr:row>
      <xdr:rowOff>266700</xdr:rowOff>
    </xdr:from>
    <xdr:to>
      <xdr:col>27</xdr:col>
      <xdr:colOff>419100</xdr:colOff>
      <xdr:row>45</xdr:row>
      <xdr:rowOff>38100</xdr:rowOff>
    </xdr:to>
    <xdr:sp macro="" textlink="">
      <xdr:nvSpPr>
        <xdr:cNvPr id="7" name="Rectangle 6">
          <a:extLst>
            <a:ext uri="{FF2B5EF4-FFF2-40B4-BE49-F238E27FC236}">
              <a16:creationId xmlns:a16="http://schemas.microsoft.com/office/drawing/2014/main" id="{45B5A50E-A8F4-42B0-B8D5-C8D030963412}"/>
            </a:ext>
          </a:extLst>
        </xdr:cNvPr>
        <xdr:cNvSpPr/>
      </xdr:nvSpPr>
      <xdr:spPr>
        <a:xfrm>
          <a:off x="7277100" y="1435100"/>
          <a:ext cx="15163800" cy="9131300"/>
        </a:xfrm>
        <a:prstGeom prst="rect">
          <a:avLst/>
        </a:prstGeom>
        <a:noFill/>
        <a:ln w="3810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12</xdr:col>
      <xdr:colOff>1028700</xdr:colOff>
      <xdr:row>13</xdr:row>
      <xdr:rowOff>190500</xdr:rowOff>
    </xdr:from>
    <xdr:to>
      <xdr:col>13</xdr:col>
      <xdr:colOff>149506</xdr:colOff>
      <xdr:row>16</xdr:row>
      <xdr:rowOff>113174</xdr:rowOff>
    </xdr:to>
    <xdr:pic>
      <xdr:nvPicPr>
        <xdr:cNvPr id="16" name="Graphic 15" descr="Business Growth with solid fill">
          <a:extLst>
            <a:ext uri="{FF2B5EF4-FFF2-40B4-BE49-F238E27FC236}">
              <a16:creationId xmlns:a16="http://schemas.microsoft.com/office/drawing/2014/main" id="{FF261238-E57A-481D-AA17-22634F2460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01200" y="2794000"/>
          <a:ext cx="530506" cy="519574"/>
        </a:xfrm>
        <a:prstGeom prst="rect">
          <a:avLst/>
        </a:prstGeom>
      </xdr:spPr>
    </xdr:pic>
    <xdr:clientData/>
  </xdr:twoCellAnchor>
  <xdr:twoCellAnchor>
    <xdr:from>
      <xdr:col>11</xdr:col>
      <xdr:colOff>88900</xdr:colOff>
      <xdr:row>7</xdr:row>
      <xdr:rowOff>152400</xdr:rowOff>
    </xdr:from>
    <xdr:to>
      <xdr:col>13</xdr:col>
      <xdr:colOff>627605</xdr:colOff>
      <xdr:row>18</xdr:row>
      <xdr:rowOff>88900</xdr:rowOff>
    </xdr:to>
    <xdr:sp macro="" textlink="">
      <xdr:nvSpPr>
        <xdr:cNvPr id="17" name="Frame 16">
          <a:extLst>
            <a:ext uri="{FF2B5EF4-FFF2-40B4-BE49-F238E27FC236}">
              <a16:creationId xmlns:a16="http://schemas.microsoft.com/office/drawing/2014/main" id="{1158EDB8-8C33-4649-8A27-21D7B7DE879A}"/>
            </a:ext>
          </a:extLst>
        </xdr:cNvPr>
        <xdr:cNvSpPr/>
      </xdr:nvSpPr>
      <xdr:spPr>
        <a:xfrm>
          <a:off x="7581900" y="1689100"/>
          <a:ext cx="3027905" cy="1955800"/>
        </a:xfrm>
        <a:prstGeom prst="frame">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ysClr val="windowText" lastClr="000000"/>
              </a:solidFill>
              <a:latin typeface="Bell MT" panose="02020503060305020303" pitchFamily="18" charset="0"/>
            </a:rPr>
            <a:t>Total Number of Suicides</a:t>
          </a:r>
        </a:p>
      </xdr:txBody>
    </xdr:sp>
    <xdr:clientData/>
  </xdr:twoCellAnchor>
  <xdr:twoCellAnchor editAs="oneCell">
    <xdr:from>
      <xdr:col>2</xdr:col>
      <xdr:colOff>63500</xdr:colOff>
      <xdr:row>22</xdr:row>
      <xdr:rowOff>228600</xdr:rowOff>
    </xdr:from>
    <xdr:to>
      <xdr:col>10</xdr:col>
      <xdr:colOff>368300</xdr:colOff>
      <xdr:row>45</xdr:row>
      <xdr:rowOff>76199</xdr:rowOff>
    </xdr:to>
    <mc:AlternateContent xmlns:mc="http://schemas.openxmlformats.org/markup-compatibility/2006">
      <mc:Choice xmlns:a14="http://schemas.microsoft.com/office/drawing/2010/main" Requires="a14">
        <xdr:graphicFrame macro="">
          <xdr:nvGraphicFramePr>
            <xdr:cNvPr id="18" name="State 3">
              <a:extLst>
                <a:ext uri="{FF2B5EF4-FFF2-40B4-BE49-F238E27FC236}">
                  <a16:creationId xmlns:a16="http://schemas.microsoft.com/office/drawing/2014/main" id="{410CD954-AE91-4B83-AE3F-1D537467AB9A}"/>
                </a:ext>
              </a:extLst>
            </xdr:cNvPr>
            <xdr:cNvGraphicFramePr/>
          </xdr:nvGraphicFramePr>
          <xdr:xfrm>
            <a:off x="0" y="0"/>
            <a:ext cx="0" cy="0"/>
          </xdr:xfrm>
          <a:graphic>
            <a:graphicData uri="http://schemas.microsoft.com/office/drawing/2010/slicer">
              <sle:slicer xmlns:sle="http://schemas.microsoft.com/office/drawing/2010/slicer" name="State 3"/>
            </a:graphicData>
          </a:graphic>
        </xdr:graphicFrame>
      </mc:Choice>
      <mc:Fallback>
        <xdr:sp macro="" textlink="">
          <xdr:nvSpPr>
            <xdr:cNvPr id="0" name=""/>
            <xdr:cNvSpPr>
              <a:spLocks noTextEdit="1"/>
            </xdr:cNvSpPr>
          </xdr:nvSpPr>
          <xdr:spPr>
            <a:xfrm>
              <a:off x="1282700" y="4737100"/>
              <a:ext cx="5689600" cy="5867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63501</xdr:colOff>
      <xdr:row>19</xdr:row>
      <xdr:rowOff>12700</xdr:rowOff>
    </xdr:from>
    <xdr:to>
      <xdr:col>10</xdr:col>
      <xdr:colOff>380203</xdr:colOff>
      <xdr:row>22</xdr:row>
      <xdr:rowOff>254000</xdr:rowOff>
    </xdr:to>
    <mc:AlternateContent xmlns:mc="http://schemas.openxmlformats.org/markup-compatibility/2006">
      <mc:Choice xmlns:a14="http://schemas.microsoft.com/office/drawing/2010/main" Requires="a14">
        <xdr:graphicFrame macro="">
          <xdr:nvGraphicFramePr>
            <xdr:cNvPr id="19" name="Gender 3">
              <a:extLst>
                <a:ext uri="{FF2B5EF4-FFF2-40B4-BE49-F238E27FC236}">
                  <a16:creationId xmlns:a16="http://schemas.microsoft.com/office/drawing/2014/main" id="{8F5D68EB-193D-4F6D-ADBE-D7CDEE46E7A6}"/>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dr:sp macro="" textlink="">
          <xdr:nvSpPr>
            <xdr:cNvPr id="0" name=""/>
            <xdr:cNvSpPr>
              <a:spLocks noTextEdit="1"/>
            </xdr:cNvSpPr>
          </xdr:nvSpPr>
          <xdr:spPr>
            <a:xfrm>
              <a:off x="1282701" y="3746500"/>
              <a:ext cx="5701502" cy="101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25400</xdr:colOff>
      <xdr:row>30</xdr:row>
      <xdr:rowOff>177800</xdr:rowOff>
    </xdr:from>
    <xdr:to>
      <xdr:col>27</xdr:col>
      <xdr:colOff>203200</xdr:colOff>
      <xdr:row>43</xdr:row>
      <xdr:rowOff>161387</xdr:rowOff>
    </xdr:to>
    <xdr:graphicFrame macro="">
      <xdr:nvGraphicFramePr>
        <xdr:cNvPr id="20" name="Chart 19">
          <a:extLst>
            <a:ext uri="{FF2B5EF4-FFF2-40B4-BE49-F238E27FC236}">
              <a16:creationId xmlns:a16="http://schemas.microsoft.com/office/drawing/2014/main" id="{F58AB0CD-3005-47ED-ABA0-7A3038F09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304800</xdr:colOff>
      <xdr:row>7</xdr:row>
      <xdr:rowOff>114301</xdr:rowOff>
    </xdr:from>
    <xdr:to>
      <xdr:col>27</xdr:col>
      <xdr:colOff>203200</xdr:colOff>
      <xdr:row>29</xdr:row>
      <xdr:rowOff>203200</xdr:rowOff>
    </xdr:to>
    <xdr:graphicFrame macro="">
      <xdr:nvGraphicFramePr>
        <xdr:cNvPr id="21" name="Chart 20">
          <a:extLst>
            <a:ext uri="{FF2B5EF4-FFF2-40B4-BE49-F238E27FC236}">
              <a16:creationId xmlns:a16="http://schemas.microsoft.com/office/drawing/2014/main" id="{C754CCE9-2377-45F2-B237-B9E62DC821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393700</xdr:colOff>
      <xdr:row>7</xdr:row>
      <xdr:rowOff>127976</xdr:rowOff>
    </xdr:from>
    <xdr:to>
      <xdr:col>17</xdr:col>
      <xdr:colOff>141654</xdr:colOff>
      <xdr:row>18</xdr:row>
      <xdr:rowOff>76200</xdr:rowOff>
    </xdr:to>
    <xdr:graphicFrame macro="">
      <xdr:nvGraphicFramePr>
        <xdr:cNvPr id="22" name="Chart 21">
          <a:extLst>
            <a:ext uri="{FF2B5EF4-FFF2-40B4-BE49-F238E27FC236}">
              <a16:creationId xmlns:a16="http://schemas.microsoft.com/office/drawing/2014/main" id="{C5D3F084-B97D-4C1F-8BF9-D242E9158B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2540</xdr:colOff>
      <xdr:row>7</xdr:row>
      <xdr:rowOff>139700</xdr:rowOff>
    </xdr:from>
    <xdr:to>
      <xdr:col>15</xdr:col>
      <xdr:colOff>571500</xdr:colOff>
      <xdr:row>18</xdr:row>
      <xdr:rowOff>88900</xdr:rowOff>
    </xdr:to>
    <xdr:graphicFrame macro="">
      <xdr:nvGraphicFramePr>
        <xdr:cNvPr id="23" name="Chart 22">
          <a:extLst>
            <a:ext uri="{FF2B5EF4-FFF2-40B4-BE49-F238E27FC236}">
              <a16:creationId xmlns:a16="http://schemas.microsoft.com/office/drawing/2014/main" id="{4820C974-FA3C-4A40-B06F-A9B6BADDD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16</xdr:col>
      <xdr:colOff>381000</xdr:colOff>
      <xdr:row>13</xdr:row>
      <xdr:rowOff>0</xdr:rowOff>
    </xdr:from>
    <xdr:to>
      <xdr:col>16</xdr:col>
      <xdr:colOff>812800</xdr:colOff>
      <xdr:row>15</xdr:row>
      <xdr:rowOff>12700</xdr:rowOff>
    </xdr:to>
    <xdr:pic>
      <xdr:nvPicPr>
        <xdr:cNvPr id="26" name="Graphic 25" descr="Woman with solid fill">
          <a:extLst>
            <a:ext uri="{FF2B5EF4-FFF2-40B4-BE49-F238E27FC236}">
              <a16:creationId xmlns:a16="http://schemas.microsoft.com/office/drawing/2014/main" id="{4BD3D81A-8C08-D57A-D864-150F8EB348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097000" y="2603500"/>
          <a:ext cx="431800" cy="431800"/>
        </a:xfrm>
        <a:prstGeom prst="rect">
          <a:avLst/>
        </a:prstGeom>
      </xdr:spPr>
    </xdr:pic>
    <xdr:clientData/>
  </xdr:twoCellAnchor>
  <xdr:twoCellAnchor editAs="oneCell">
    <xdr:from>
      <xdr:col>14</xdr:col>
      <xdr:colOff>1320800</xdr:colOff>
      <xdr:row>13</xdr:row>
      <xdr:rowOff>12700</xdr:rowOff>
    </xdr:from>
    <xdr:to>
      <xdr:col>15</xdr:col>
      <xdr:colOff>152600</xdr:colOff>
      <xdr:row>15</xdr:row>
      <xdr:rowOff>25600</xdr:rowOff>
    </xdr:to>
    <xdr:pic>
      <xdr:nvPicPr>
        <xdr:cNvPr id="28" name="Graphic 27" descr="Man with solid fill">
          <a:extLst>
            <a:ext uri="{FF2B5EF4-FFF2-40B4-BE49-F238E27FC236}">
              <a16:creationId xmlns:a16="http://schemas.microsoft.com/office/drawing/2014/main" id="{9C78D640-1A90-590F-9DCD-6D5162913C4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026900" y="2616200"/>
          <a:ext cx="432000" cy="432000"/>
        </a:xfrm>
        <a:prstGeom prst="rect">
          <a:avLst/>
        </a:prstGeom>
      </xdr:spPr>
    </xdr:pic>
    <xdr:clientData/>
  </xdr:twoCellAnchor>
  <xdr:twoCellAnchor>
    <xdr:from>
      <xdr:col>14</xdr:col>
      <xdr:colOff>673100</xdr:colOff>
      <xdr:row>10</xdr:row>
      <xdr:rowOff>63500</xdr:rowOff>
    </xdr:from>
    <xdr:to>
      <xdr:col>14</xdr:col>
      <xdr:colOff>1511300</xdr:colOff>
      <xdr:row>12</xdr:row>
      <xdr:rowOff>101600</xdr:rowOff>
    </xdr:to>
    <xdr:sp macro="" textlink="">
      <xdr:nvSpPr>
        <xdr:cNvPr id="29" name="TextBox 28">
          <a:extLst>
            <a:ext uri="{FF2B5EF4-FFF2-40B4-BE49-F238E27FC236}">
              <a16:creationId xmlns:a16="http://schemas.microsoft.com/office/drawing/2014/main" id="{92B75C6C-D51D-F431-A797-2B253A5C4F46}"/>
            </a:ext>
          </a:extLst>
        </xdr:cNvPr>
        <xdr:cNvSpPr txBox="1"/>
      </xdr:nvSpPr>
      <xdr:spPr>
        <a:xfrm>
          <a:off x="11379200" y="2133600"/>
          <a:ext cx="838200" cy="393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MALE</a:t>
          </a:r>
        </a:p>
      </xdr:txBody>
    </xdr:sp>
    <xdr:clientData/>
  </xdr:twoCellAnchor>
  <xdr:twoCellAnchor>
    <xdr:from>
      <xdr:col>15</xdr:col>
      <xdr:colOff>1066800</xdr:colOff>
      <xdr:row>10</xdr:row>
      <xdr:rowOff>38100</xdr:rowOff>
    </xdr:from>
    <xdr:to>
      <xdr:col>16</xdr:col>
      <xdr:colOff>495300</xdr:colOff>
      <xdr:row>12</xdr:row>
      <xdr:rowOff>76200</xdr:rowOff>
    </xdr:to>
    <xdr:sp macro="" textlink="">
      <xdr:nvSpPr>
        <xdr:cNvPr id="30" name="TextBox 29">
          <a:extLst>
            <a:ext uri="{FF2B5EF4-FFF2-40B4-BE49-F238E27FC236}">
              <a16:creationId xmlns:a16="http://schemas.microsoft.com/office/drawing/2014/main" id="{CE56194A-F792-40AC-B34F-597420EF830F}"/>
            </a:ext>
          </a:extLst>
        </xdr:cNvPr>
        <xdr:cNvSpPr txBox="1"/>
      </xdr:nvSpPr>
      <xdr:spPr>
        <a:xfrm>
          <a:off x="13373100" y="2108200"/>
          <a:ext cx="838200" cy="393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FEMALE</a:t>
          </a:r>
        </a:p>
      </xdr:txBody>
    </xdr:sp>
    <xdr:clientData/>
  </xdr:twoCellAnchor>
  <xdr:twoCellAnchor>
    <xdr:from>
      <xdr:col>11</xdr:col>
      <xdr:colOff>50800</xdr:colOff>
      <xdr:row>19</xdr:row>
      <xdr:rowOff>127000</xdr:rowOff>
    </xdr:from>
    <xdr:to>
      <xdr:col>17</xdr:col>
      <xdr:colOff>88900</xdr:colOff>
      <xdr:row>29</xdr:row>
      <xdr:rowOff>228600</xdr:rowOff>
    </xdr:to>
    <xdr:graphicFrame macro="">
      <xdr:nvGraphicFramePr>
        <xdr:cNvPr id="31" name="Chart 30">
          <a:extLst>
            <a:ext uri="{FF2B5EF4-FFF2-40B4-BE49-F238E27FC236}">
              <a16:creationId xmlns:a16="http://schemas.microsoft.com/office/drawing/2014/main" id="{9D150EFD-5027-4908-8176-8943E13980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546100</xdr:colOff>
      <xdr:row>6</xdr:row>
      <xdr:rowOff>215900</xdr:rowOff>
    </xdr:from>
    <xdr:to>
      <xdr:col>28</xdr:col>
      <xdr:colOff>431800</xdr:colOff>
      <xdr:row>20</xdr:row>
      <xdr:rowOff>38100</xdr:rowOff>
    </xdr:to>
    <xdr:sp macro="[0]!Dashboard1" textlink="">
      <xdr:nvSpPr>
        <xdr:cNvPr id="32" name="Rectangle 31">
          <a:extLst>
            <a:ext uri="{FF2B5EF4-FFF2-40B4-BE49-F238E27FC236}">
              <a16:creationId xmlns:a16="http://schemas.microsoft.com/office/drawing/2014/main" id="{79D37AF2-7C7A-4D62-A682-59CDB72D7D70}"/>
            </a:ext>
          </a:extLst>
        </xdr:cNvPr>
        <xdr:cNvSpPr/>
      </xdr:nvSpPr>
      <xdr:spPr>
        <a:xfrm>
          <a:off x="22580600" y="1384300"/>
          <a:ext cx="495300" cy="256540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baseline="0">
              <a:solidFill>
                <a:schemeClr val="tx1"/>
              </a:solidFill>
            </a:rPr>
            <a:t>DASHBOARD 1</a:t>
          </a:r>
          <a:endParaRPr lang="en-IN" sz="1200" b="1">
            <a:solidFill>
              <a:schemeClr val="tx1"/>
            </a:solidFill>
          </a:endParaRPr>
        </a:p>
      </xdr:txBody>
    </xdr:sp>
    <xdr:clientData/>
  </xdr:twoCellAnchor>
  <xdr:twoCellAnchor>
    <xdr:from>
      <xdr:col>27</xdr:col>
      <xdr:colOff>546100</xdr:colOff>
      <xdr:row>22</xdr:row>
      <xdr:rowOff>241300</xdr:rowOff>
    </xdr:from>
    <xdr:to>
      <xdr:col>28</xdr:col>
      <xdr:colOff>431800</xdr:colOff>
      <xdr:row>30</xdr:row>
      <xdr:rowOff>266700</xdr:rowOff>
    </xdr:to>
    <xdr:sp macro="[0]!Dashboard2" textlink="">
      <xdr:nvSpPr>
        <xdr:cNvPr id="33" name="Rectangle 32">
          <a:extLst>
            <a:ext uri="{FF2B5EF4-FFF2-40B4-BE49-F238E27FC236}">
              <a16:creationId xmlns:a16="http://schemas.microsoft.com/office/drawing/2014/main" id="{91152043-20D6-4E0B-B7CC-F6F697538FB9}"/>
            </a:ext>
          </a:extLst>
        </xdr:cNvPr>
        <xdr:cNvSpPr/>
      </xdr:nvSpPr>
      <xdr:spPr>
        <a:xfrm>
          <a:off x="22580600" y="4749800"/>
          <a:ext cx="495300" cy="2565400"/>
        </a:xfrm>
        <a:prstGeom prst="rect">
          <a:avLst/>
        </a:prstGeom>
        <a:solidFill>
          <a:schemeClr val="bg1">
            <a:lumMod val="6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a:solidFill>
                <a:schemeClr val="tx1"/>
              </a:solidFill>
            </a:rPr>
            <a:t>DASHBOARD 2</a:t>
          </a:r>
        </a:p>
      </xdr:txBody>
    </xdr:sp>
    <xdr:clientData/>
  </xdr:twoCellAnchor>
  <xdr:twoCellAnchor>
    <xdr:from>
      <xdr:col>27</xdr:col>
      <xdr:colOff>546100</xdr:colOff>
      <xdr:row>33</xdr:row>
      <xdr:rowOff>38100</xdr:rowOff>
    </xdr:from>
    <xdr:to>
      <xdr:col>28</xdr:col>
      <xdr:colOff>431800</xdr:colOff>
      <xdr:row>45</xdr:row>
      <xdr:rowOff>114300</xdr:rowOff>
    </xdr:to>
    <xdr:sp macro="[0]!Dashboard3" textlink="">
      <xdr:nvSpPr>
        <xdr:cNvPr id="34" name="Rectangle 33">
          <a:extLst>
            <a:ext uri="{FF2B5EF4-FFF2-40B4-BE49-F238E27FC236}">
              <a16:creationId xmlns:a16="http://schemas.microsoft.com/office/drawing/2014/main" id="{28F14242-69A3-492A-8554-F77CD9EF28A9}"/>
            </a:ext>
          </a:extLst>
        </xdr:cNvPr>
        <xdr:cNvSpPr/>
      </xdr:nvSpPr>
      <xdr:spPr>
        <a:xfrm>
          <a:off x="22580600" y="8077200"/>
          <a:ext cx="495300" cy="256540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a:solidFill>
                <a:schemeClr val="tx1"/>
              </a:solidFill>
            </a:rPr>
            <a:t>DASHBOARD</a:t>
          </a:r>
          <a:r>
            <a:rPr lang="en-IN" sz="1200" b="1" baseline="0">
              <a:solidFill>
                <a:schemeClr val="tx1"/>
              </a:solidFill>
            </a:rPr>
            <a:t> 3</a:t>
          </a:r>
          <a:endParaRPr lang="en-IN"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34</xdr:row>
      <xdr:rowOff>96456</xdr:rowOff>
    </xdr:from>
    <xdr:to>
      <xdr:col>20</xdr:col>
      <xdr:colOff>345311</xdr:colOff>
      <xdr:row>34</xdr:row>
      <xdr:rowOff>299013</xdr:rowOff>
    </xdr:to>
    <xdr:sp macro="" textlink="">
      <xdr:nvSpPr>
        <xdr:cNvPr id="2" name="Rectangle 1">
          <a:extLst>
            <a:ext uri="{FF2B5EF4-FFF2-40B4-BE49-F238E27FC236}">
              <a16:creationId xmlns:a16="http://schemas.microsoft.com/office/drawing/2014/main" id="{72BE53F0-E39B-4746-A120-6D4033C931CD}"/>
            </a:ext>
          </a:extLst>
        </xdr:cNvPr>
        <xdr:cNvSpPr/>
      </xdr:nvSpPr>
      <xdr:spPr>
        <a:xfrm>
          <a:off x="17724120" y="8531796"/>
          <a:ext cx="345311" cy="202557"/>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406400</xdr:colOff>
      <xdr:row>5</xdr:row>
      <xdr:rowOff>330200</xdr:rowOff>
    </xdr:from>
    <xdr:to>
      <xdr:col>28</xdr:col>
      <xdr:colOff>151900</xdr:colOff>
      <xdr:row>47</xdr:row>
      <xdr:rowOff>25400</xdr:rowOff>
    </xdr:to>
    <xdr:sp macro="" textlink="">
      <xdr:nvSpPr>
        <xdr:cNvPr id="3" name="Rectangle 2">
          <a:extLst>
            <a:ext uri="{FF2B5EF4-FFF2-40B4-BE49-F238E27FC236}">
              <a16:creationId xmlns:a16="http://schemas.microsoft.com/office/drawing/2014/main" id="{70E229F9-0502-4A30-A188-C1F717D0B5EE}"/>
            </a:ext>
          </a:extLst>
        </xdr:cNvPr>
        <xdr:cNvSpPr/>
      </xdr:nvSpPr>
      <xdr:spPr>
        <a:xfrm>
          <a:off x="1016000" y="1092200"/>
          <a:ext cx="21752060" cy="9936480"/>
        </a:xfrm>
        <a:prstGeom prst="rect">
          <a:avLst/>
        </a:prstGeom>
        <a:noFill/>
        <a:ln w="7620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76200</xdr:colOff>
      <xdr:row>6</xdr:row>
      <xdr:rowOff>292100</xdr:rowOff>
    </xdr:from>
    <xdr:to>
      <xdr:col>10</xdr:col>
      <xdr:colOff>355600</xdr:colOff>
      <xdr:row>17</xdr:row>
      <xdr:rowOff>87531</xdr:rowOff>
    </xdr:to>
    <xdr:sp macro="" textlink="">
      <xdr:nvSpPr>
        <xdr:cNvPr id="4" name="TextBox 3">
          <a:extLst>
            <a:ext uri="{FF2B5EF4-FFF2-40B4-BE49-F238E27FC236}">
              <a16:creationId xmlns:a16="http://schemas.microsoft.com/office/drawing/2014/main" id="{935E81C0-F9DE-4488-B6F5-2789A42B0856}"/>
            </a:ext>
          </a:extLst>
        </xdr:cNvPr>
        <xdr:cNvSpPr txBox="1"/>
      </xdr:nvSpPr>
      <xdr:spPr>
        <a:xfrm>
          <a:off x="1295400" y="1473200"/>
          <a:ext cx="5659120" cy="2043331"/>
        </a:xfrm>
        <a:prstGeom prst="rect">
          <a:avLst/>
        </a:prstGeom>
        <a:solidFill>
          <a:schemeClr val="lt1"/>
        </a:solidFill>
        <a:ln w="9525" cmpd="sng">
          <a:noFill/>
        </a:ln>
        <a:effectLst>
          <a:outerShdw blurRad="107950" dist="12700" dir="5400000" sx="101000" sy="101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4000">
              <a:latin typeface="Bauhaus 93" panose="04030905020B02020C02" pitchFamily="82" charset="0"/>
            </a:rPr>
            <a:t>STATUS</a:t>
          </a:r>
          <a:r>
            <a:rPr lang="en-IN" sz="4000" baseline="0">
              <a:latin typeface="Bauhaus 93" panose="04030905020B02020C02" pitchFamily="82" charset="0"/>
            </a:rPr>
            <a:t> OF SELF-KILLERS </a:t>
          </a:r>
          <a:r>
            <a:rPr lang="en-IN" sz="4000">
              <a:latin typeface="Bauhaus 93" panose="04030905020B02020C02" pitchFamily="82" charset="0"/>
            </a:rPr>
            <a:t>IN INDIA 2022</a:t>
          </a:r>
        </a:p>
      </xdr:txBody>
    </xdr:sp>
    <xdr:clientData/>
  </xdr:twoCellAnchor>
  <xdr:twoCellAnchor>
    <xdr:from>
      <xdr:col>10</xdr:col>
      <xdr:colOff>673100</xdr:colOff>
      <xdr:row>6</xdr:row>
      <xdr:rowOff>266700</xdr:rowOff>
    </xdr:from>
    <xdr:to>
      <xdr:col>27</xdr:col>
      <xdr:colOff>419100</xdr:colOff>
      <xdr:row>45</xdr:row>
      <xdr:rowOff>38100</xdr:rowOff>
    </xdr:to>
    <xdr:sp macro="" textlink="">
      <xdr:nvSpPr>
        <xdr:cNvPr id="5" name="Rectangle 4">
          <a:extLst>
            <a:ext uri="{FF2B5EF4-FFF2-40B4-BE49-F238E27FC236}">
              <a16:creationId xmlns:a16="http://schemas.microsoft.com/office/drawing/2014/main" id="{4CDCFDC7-3C9E-42EE-924E-A12696718443}"/>
            </a:ext>
          </a:extLst>
        </xdr:cNvPr>
        <xdr:cNvSpPr/>
      </xdr:nvSpPr>
      <xdr:spPr>
        <a:xfrm>
          <a:off x="7272020" y="1447800"/>
          <a:ext cx="15153640" cy="9227820"/>
        </a:xfrm>
        <a:prstGeom prst="rect">
          <a:avLst/>
        </a:prstGeom>
        <a:noFill/>
        <a:ln w="38100">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12</xdr:col>
      <xdr:colOff>1028700</xdr:colOff>
      <xdr:row>13</xdr:row>
      <xdr:rowOff>190500</xdr:rowOff>
    </xdr:from>
    <xdr:to>
      <xdr:col>13</xdr:col>
      <xdr:colOff>149506</xdr:colOff>
      <xdr:row>16</xdr:row>
      <xdr:rowOff>113174</xdr:rowOff>
    </xdr:to>
    <xdr:pic>
      <xdr:nvPicPr>
        <xdr:cNvPr id="6" name="Graphic 5" descr="Business Growth with solid fill">
          <a:extLst>
            <a:ext uri="{FF2B5EF4-FFF2-40B4-BE49-F238E27FC236}">
              <a16:creationId xmlns:a16="http://schemas.microsoft.com/office/drawing/2014/main" id="{3B574352-7A0E-4A47-BF0B-AB62868C41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585960" y="2834640"/>
          <a:ext cx="530506" cy="524654"/>
        </a:xfrm>
        <a:prstGeom prst="rect">
          <a:avLst/>
        </a:prstGeom>
      </xdr:spPr>
    </xdr:pic>
    <xdr:clientData/>
  </xdr:twoCellAnchor>
  <xdr:twoCellAnchor>
    <xdr:from>
      <xdr:col>11</xdr:col>
      <xdr:colOff>88900</xdr:colOff>
      <xdr:row>7</xdr:row>
      <xdr:rowOff>152400</xdr:rowOff>
    </xdr:from>
    <xdr:to>
      <xdr:col>13</xdr:col>
      <xdr:colOff>627605</xdr:colOff>
      <xdr:row>18</xdr:row>
      <xdr:rowOff>88900</xdr:rowOff>
    </xdr:to>
    <xdr:sp macro="" textlink="">
      <xdr:nvSpPr>
        <xdr:cNvPr id="7" name="Frame 6">
          <a:extLst>
            <a:ext uri="{FF2B5EF4-FFF2-40B4-BE49-F238E27FC236}">
              <a16:creationId xmlns:a16="http://schemas.microsoft.com/office/drawing/2014/main" id="{984F5F18-2371-4541-890B-8A14DB35DCA9}"/>
            </a:ext>
          </a:extLst>
        </xdr:cNvPr>
        <xdr:cNvSpPr/>
      </xdr:nvSpPr>
      <xdr:spPr>
        <a:xfrm>
          <a:off x="7571740" y="1699260"/>
          <a:ext cx="3022825" cy="2001520"/>
        </a:xfrm>
        <a:prstGeom prst="frame">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ysClr val="windowText" lastClr="000000"/>
              </a:solidFill>
              <a:latin typeface="Bell MT" panose="02020503060305020303" pitchFamily="18" charset="0"/>
            </a:rPr>
            <a:t>Total Number of Suicides</a:t>
          </a:r>
        </a:p>
      </xdr:txBody>
    </xdr:sp>
    <xdr:clientData/>
  </xdr:twoCellAnchor>
  <xdr:twoCellAnchor editAs="oneCell">
    <xdr:from>
      <xdr:col>2</xdr:col>
      <xdr:colOff>63500</xdr:colOff>
      <xdr:row>22</xdr:row>
      <xdr:rowOff>228600</xdr:rowOff>
    </xdr:from>
    <xdr:to>
      <xdr:col>10</xdr:col>
      <xdr:colOff>368300</xdr:colOff>
      <xdr:row>45</xdr:row>
      <xdr:rowOff>76199</xdr:rowOff>
    </xdr:to>
    <mc:AlternateContent xmlns:mc="http://schemas.openxmlformats.org/markup-compatibility/2006">
      <mc:Choice xmlns:a14="http://schemas.microsoft.com/office/drawing/2010/main" Requires="a14">
        <xdr:graphicFrame macro="">
          <xdr:nvGraphicFramePr>
            <xdr:cNvPr id="8" name="State 4">
              <a:extLst>
                <a:ext uri="{FF2B5EF4-FFF2-40B4-BE49-F238E27FC236}">
                  <a16:creationId xmlns:a16="http://schemas.microsoft.com/office/drawing/2014/main" id="{24E3EDB2-22DB-4B45-BE81-7BB1F5158875}"/>
                </a:ext>
              </a:extLst>
            </xdr:cNvPr>
            <xdr:cNvGraphicFramePr/>
          </xdr:nvGraphicFramePr>
          <xdr:xfrm>
            <a:off x="0" y="0"/>
            <a:ext cx="0" cy="0"/>
          </xdr:xfrm>
          <a:graphic>
            <a:graphicData uri="http://schemas.microsoft.com/office/drawing/2010/slicer">
              <sle:slicer xmlns:sle="http://schemas.microsoft.com/office/drawing/2010/slicer" name="State 4"/>
            </a:graphicData>
          </a:graphic>
        </xdr:graphicFrame>
      </mc:Choice>
      <mc:Fallback>
        <xdr:sp macro="" textlink="">
          <xdr:nvSpPr>
            <xdr:cNvPr id="0" name=""/>
            <xdr:cNvSpPr>
              <a:spLocks noTextEdit="1"/>
            </xdr:cNvSpPr>
          </xdr:nvSpPr>
          <xdr:spPr>
            <a:xfrm>
              <a:off x="1282700" y="4737100"/>
              <a:ext cx="5689600" cy="5867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63501</xdr:colOff>
      <xdr:row>19</xdr:row>
      <xdr:rowOff>12700</xdr:rowOff>
    </xdr:from>
    <xdr:to>
      <xdr:col>10</xdr:col>
      <xdr:colOff>380203</xdr:colOff>
      <xdr:row>22</xdr:row>
      <xdr:rowOff>254000</xdr:rowOff>
    </xdr:to>
    <mc:AlternateContent xmlns:mc="http://schemas.openxmlformats.org/markup-compatibility/2006">
      <mc:Choice xmlns:a14="http://schemas.microsoft.com/office/drawing/2010/main" Requires="a14">
        <xdr:graphicFrame macro="">
          <xdr:nvGraphicFramePr>
            <xdr:cNvPr id="9" name="Gender 4">
              <a:extLst>
                <a:ext uri="{FF2B5EF4-FFF2-40B4-BE49-F238E27FC236}">
                  <a16:creationId xmlns:a16="http://schemas.microsoft.com/office/drawing/2014/main" id="{124F9832-860F-4067-80A3-8006F978167E}"/>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dr:sp macro="" textlink="">
          <xdr:nvSpPr>
            <xdr:cNvPr id="0" name=""/>
            <xdr:cNvSpPr>
              <a:spLocks noTextEdit="1"/>
            </xdr:cNvSpPr>
          </xdr:nvSpPr>
          <xdr:spPr>
            <a:xfrm>
              <a:off x="1282701" y="3746500"/>
              <a:ext cx="5701502" cy="101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11</xdr:col>
      <xdr:colOff>25400</xdr:colOff>
      <xdr:row>30</xdr:row>
      <xdr:rowOff>177800</xdr:rowOff>
    </xdr:from>
    <xdr:to>
      <xdr:col>27</xdr:col>
      <xdr:colOff>203200</xdr:colOff>
      <xdr:row>43</xdr:row>
      <xdr:rowOff>161387</xdr:rowOff>
    </xdr:to>
    <xdr:graphicFrame macro="">
      <xdr:nvGraphicFramePr>
        <xdr:cNvPr id="10" name="Chart 9">
          <a:extLst>
            <a:ext uri="{FF2B5EF4-FFF2-40B4-BE49-F238E27FC236}">
              <a16:creationId xmlns:a16="http://schemas.microsoft.com/office/drawing/2014/main" id="{F61928A3-983A-41C1-B736-94A919E243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393700</xdr:colOff>
      <xdr:row>7</xdr:row>
      <xdr:rowOff>127976</xdr:rowOff>
    </xdr:from>
    <xdr:to>
      <xdr:col>17</xdr:col>
      <xdr:colOff>141654</xdr:colOff>
      <xdr:row>18</xdr:row>
      <xdr:rowOff>76200</xdr:rowOff>
    </xdr:to>
    <xdr:graphicFrame macro="">
      <xdr:nvGraphicFramePr>
        <xdr:cNvPr id="12" name="Chart 11">
          <a:extLst>
            <a:ext uri="{FF2B5EF4-FFF2-40B4-BE49-F238E27FC236}">
              <a16:creationId xmlns:a16="http://schemas.microsoft.com/office/drawing/2014/main" id="{45B4BE69-9E3F-4504-8AAF-72F3E28E7C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2540</xdr:colOff>
      <xdr:row>7</xdr:row>
      <xdr:rowOff>139700</xdr:rowOff>
    </xdr:from>
    <xdr:to>
      <xdr:col>15</xdr:col>
      <xdr:colOff>571500</xdr:colOff>
      <xdr:row>18</xdr:row>
      <xdr:rowOff>88900</xdr:rowOff>
    </xdr:to>
    <xdr:graphicFrame macro="">
      <xdr:nvGraphicFramePr>
        <xdr:cNvPr id="13" name="Chart 12">
          <a:extLst>
            <a:ext uri="{FF2B5EF4-FFF2-40B4-BE49-F238E27FC236}">
              <a16:creationId xmlns:a16="http://schemas.microsoft.com/office/drawing/2014/main" id="{8BF6A335-CD31-4B04-AB53-6D86ACAC92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381000</xdr:colOff>
      <xdr:row>13</xdr:row>
      <xdr:rowOff>0</xdr:rowOff>
    </xdr:from>
    <xdr:to>
      <xdr:col>16</xdr:col>
      <xdr:colOff>812800</xdr:colOff>
      <xdr:row>15</xdr:row>
      <xdr:rowOff>12700</xdr:rowOff>
    </xdr:to>
    <xdr:pic>
      <xdr:nvPicPr>
        <xdr:cNvPr id="14" name="Graphic 13" descr="Woman with solid fill">
          <a:extLst>
            <a:ext uri="{FF2B5EF4-FFF2-40B4-BE49-F238E27FC236}">
              <a16:creationId xmlns:a16="http://schemas.microsoft.com/office/drawing/2014/main" id="{90A883BB-E464-4C05-8295-9C62AAA2F5E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081760" y="2644140"/>
          <a:ext cx="431800" cy="431800"/>
        </a:xfrm>
        <a:prstGeom prst="rect">
          <a:avLst/>
        </a:prstGeom>
      </xdr:spPr>
    </xdr:pic>
    <xdr:clientData/>
  </xdr:twoCellAnchor>
  <xdr:twoCellAnchor editAs="oneCell">
    <xdr:from>
      <xdr:col>14</xdr:col>
      <xdr:colOff>1320800</xdr:colOff>
      <xdr:row>13</xdr:row>
      <xdr:rowOff>12700</xdr:rowOff>
    </xdr:from>
    <xdr:to>
      <xdr:col>15</xdr:col>
      <xdr:colOff>152600</xdr:colOff>
      <xdr:row>15</xdr:row>
      <xdr:rowOff>25600</xdr:rowOff>
    </xdr:to>
    <xdr:pic>
      <xdr:nvPicPr>
        <xdr:cNvPr id="15" name="Graphic 14" descr="Man with solid fill">
          <a:extLst>
            <a:ext uri="{FF2B5EF4-FFF2-40B4-BE49-F238E27FC236}">
              <a16:creationId xmlns:a16="http://schemas.microsoft.com/office/drawing/2014/main" id="{78B68EC9-8A6D-4061-A529-7E6C0FCC01C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2011660" y="2656840"/>
          <a:ext cx="432000" cy="432000"/>
        </a:xfrm>
        <a:prstGeom prst="rect">
          <a:avLst/>
        </a:prstGeom>
      </xdr:spPr>
    </xdr:pic>
    <xdr:clientData/>
  </xdr:twoCellAnchor>
  <xdr:twoCellAnchor>
    <xdr:from>
      <xdr:col>14</xdr:col>
      <xdr:colOff>673100</xdr:colOff>
      <xdr:row>10</xdr:row>
      <xdr:rowOff>63500</xdr:rowOff>
    </xdr:from>
    <xdr:to>
      <xdr:col>14</xdr:col>
      <xdr:colOff>1511300</xdr:colOff>
      <xdr:row>12</xdr:row>
      <xdr:rowOff>101600</xdr:rowOff>
    </xdr:to>
    <xdr:sp macro="" textlink="">
      <xdr:nvSpPr>
        <xdr:cNvPr id="16" name="TextBox 15">
          <a:extLst>
            <a:ext uri="{FF2B5EF4-FFF2-40B4-BE49-F238E27FC236}">
              <a16:creationId xmlns:a16="http://schemas.microsoft.com/office/drawing/2014/main" id="{4766A05A-EC3F-452C-A1F5-EFC2224867A3}"/>
            </a:ext>
          </a:extLst>
        </xdr:cNvPr>
        <xdr:cNvSpPr txBox="1"/>
      </xdr:nvSpPr>
      <xdr:spPr>
        <a:xfrm>
          <a:off x="11363960" y="2159000"/>
          <a:ext cx="83820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MALE</a:t>
          </a:r>
        </a:p>
      </xdr:txBody>
    </xdr:sp>
    <xdr:clientData/>
  </xdr:twoCellAnchor>
  <xdr:twoCellAnchor>
    <xdr:from>
      <xdr:col>15</xdr:col>
      <xdr:colOff>1066800</xdr:colOff>
      <xdr:row>10</xdr:row>
      <xdr:rowOff>38100</xdr:rowOff>
    </xdr:from>
    <xdr:to>
      <xdr:col>16</xdr:col>
      <xdr:colOff>495300</xdr:colOff>
      <xdr:row>12</xdr:row>
      <xdr:rowOff>76200</xdr:rowOff>
    </xdr:to>
    <xdr:sp macro="" textlink="">
      <xdr:nvSpPr>
        <xdr:cNvPr id="17" name="TextBox 16">
          <a:extLst>
            <a:ext uri="{FF2B5EF4-FFF2-40B4-BE49-F238E27FC236}">
              <a16:creationId xmlns:a16="http://schemas.microsoft.com/office/drawing/2014/main" id="{690A5BB7-7065-4E39-8340-C6AE1CDAF76F}"/>
            </a:ext>
          </a:extLst>
        </xdr:cNvPr>
        <xdr:cNvSpPr txBox="1"/>
      </xdr:nvSpPr>
      <xdr:spPr>
        <a:xfrm>
          <a:off x="13357860" y="2133600"/>
          <a:ext cx="83820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FEMALE</a:t>
          </a:r>
        </a:p>
      </xdr:txBody>
    </xdr:sp>
    <xdr:clientData/>
  </xdr:twoCellAnchor>
  <xdr:twoCellAnchor>
    <xdr:from>
      <xdr:col>17</xdr:col>
      <xdr:colOff>558800</xdr:colOff>
      <xdr:row>7</xdr:row>
      <xdr:rowOff>88900</xdr:rowOff>
    </xdr:from>
    <xdr:to>
      <xdr:col>27</xdr:col>
      <xdr:colOff>190500</xdr:colOff>
      <xdr:row>19</xdr:row>
      <xdr:rowOff>152400</xdr:rowOff>
    </xdr:to>
    <xdr:graphicFrame macro="">
      <xdr:nvGraphicFramePr>
        <xdr:cNvPr id="19" name="Chart 18">
          <a:extLst>
            <a:ext uri="{FF2B5EF4-FFF2-40B4-BE49-F238E27FC236}">
              <a16:creationId xmlns:a16="http://schemas.microsoft.com/office/drawing/2014/main" id="{A9C0722C-7C0E-45E4-A188-06FFD2D3DA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584200</xdr:colOff>
      <xdr:row>20</xdr:row>
      <xdr:rowOff>177799</xdr:rowOff>
    </xdr:from>
    <xdr:to>
      <xdr:col>27</xdr:col>
      <xdr:colOff>203200</xdr:colOff>
      <xdr:row>29</xdr:row>
      <xdr:rowOff>177800</xdr:rowOff>
    </xdr:to>
    <xdr:graphicFrame macro="">
      <xdr:nvGraphicFramePr>
        <xdr:cNvPr id="20" name="Chart 19">
          <a:extLst>
            <a:ext uri="{FF2B5EF4-FFF2-40B4-BE49-F238E27FC236}">
              <a16:creationId xmlns:a16="http://schemas.microsoft.com/office/drawing/2014/main" id="{B98BEC07-710F-46B8-9EE6-A3CCF40E71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38100</xdr:colOff>
      <xdr:row>20</xdr:row>
      <xdr:rowOff>0</xdr:rowOff>
    </xdr:from>
    <xdr:to>
      <xdr:col>17</xdr:col>
      <xdr:colOff>393700</xdr:colOff>
      <xdr:row>29</xdr:row>
      <xdr:rowOff>177801</xdr:rowOff>
    </xdr:to>
    <xdr:graphicFrame macro="">
      <xdr:nvGraphicFramePr>
        <xdr:cNvPr id="21" name="Chart 20">
          <a:extLst>
            <a:ext uri="{FF2B5EF4-FFF2-40B4-BE49-F238E27FC236}">
              <a16:creationId xmlns:a16="http://schemas.microsoft.com/office/drawing/2014/main" id="{EC5A25F3-0FFA-4D97-95EA-C02EABB151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27</xdr:col>
      <xdr:colOff>533400</xdr:colOff>
      <xdr:row>6</xdr:row>
      <xdr:rowOff>215900</xdr:rowOff>
    </xdr:from>
    <xdr:to>
      <xdr:col>28</xdr:col>
      <xdr:colOff>419100</xdr:colOff>
      <xdr:row>20</xdr:row>
      <xdr:rowOff>38100</xdr:rowOff>
    </xdr:to>
    <xdr:sp macro="[0]!Dashboard1" textlink="">
      <xdr:nvSpPr>
        <xdr:cNvPr id="22" name="Rectangle 21">
          <a:extLst>
            <a:ext uri="{FF2B5EF4-FFF2-40B4-BE49-F238E27FC236}">
              <a16:creationId xmlns:a16="http://schemas.microsoft.com/office/drawing/2014/main" id="{35EA0C52-CF90-5CB8-C608-E4A692F1488F}"/>
            </a:ext>
          </a:extLst>
        </xdr:cNvPr>
        <xdr:cNvSpPr/>
      </xdr:nvSpPr>
      <xdr:spPr>
        <a:xfrm>
          <a:off x="22567900" y="1384300"/>
          <a:ext cx="495300" cy="256540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baseline="0">
              <a:solidFill>
                <a:schemeClr val="tx1"/>
              </a:solidFill>
            </a:rPr>
            <a:t>DASHBOARD 1</a:t>
          </a:r>
          <a:endParaRPr lang="en-IN" sz="1200" b="1">
            <a:solidFill>
              <a:schemeClr val="tx1"/>
            </a:solidFill>
          </a:endParaRPr>
        </a:p>
      </xdr:txBody>
    </xdr:sp>
    <xdr:clientData/>
  </xdr:twoCellAnchor>
  <xdr:twoCellAnchor>
    <xdr:from>
      <xdr:col>27</xdr:col>
      <xdr:colOff>533400</xdr:colOff>
      <xdr:row>22</xdr:row>
      <xdr:rowOff>241300</xdr:rowOff>
    </xdr:from>
    <xdr:to>
      <xdr:col>28</xdr:col>
      <xdr:colOff>419100</xdr:colOff>
      <xdr:row>30</xdr:row>
      <xdr:rowOff>266700</xdr:rowOff>
    </xdr:to>
    <xdr:sp macro="[0]!Dashboard2" textlink="">
      <xdr:nvSpPr>
        <xdr:cNvPr id="23" name="Rectangle 22">
          <a:extLst>
            <a:ext uri="{FF2B5EF4-FFF2-40B4-BE49-F238E27FC236}">
              <a16:creationId xmlns:a16="http://schemas.microsoft.com/office/drawing/2014/main" id="{218BDF3A-258A-4400-8B8B-82EB19FCCC2F}"/>
            </a:ext>
          </a:extLst>
        </xdr:cNvPr>
        <xdr:cNvSpPr/>
      </xdr:nvSpPr>
      <xdr:spPr>
        <a:xfrm>
          <a:off x="22567900" y="4749800"/>
          <a:ext cx="495300" cy="2565400"/>
        </a:xfrm>
        <a:prstGeom prst="rect">
          <a:avLst/>
        </a:prstGeom>
        <a:solidFill>
          <a:schemeClr val="bg1">
            <a:lumMod val="8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a:solidFill>
                <a:schemeClr val="tx1"/>
              </a:solidFill>
            </a:rPr>
            <a:t>DASHBOARD 2</a:t>
          </a:r>
        </a:p>
      </xdr:txBody>
    </xdr:sp>
    <xdr:clientData/>
  </xdr:twoCellAnchor>
  <xdr:twoCellAnchor>
    <xdr:from>
      <xdr:col>27</xdr:col>
      <xdr:colOff>533400</xdr:colOff>
      <xdr:row>33</xdr:row>
      <xdr:rowOff>38100</xdr:rowOff>
    </xdr:from>
    <xdr:to>
      <xdr:col>28</xdr:col>
      <xdr:colOff>419100</xdr:colOff>
      <xdr:row>45</xdr:row>
      <xdr:rowOff>114300</xdr:rowOff>
    </xdr:to>
    <xdr:sp macro="[0]!Dashboard3" textlink="">
      <xdr:nvSpPr>
        <xdr:cNvPr id="24" name="Rectangle 23">
          <a:extLst>
            <a:ext uri="{FF2B5EF4-FFF2-40B4-BE49-F238E27FC236}">
              <a16:creationId xmlns:a16="http://schemas.microsoft.com/office/drawing/2014/main" id="{DEA630F3-0C16-4A9B-A2BA-A9D264B376BE}"/>
            </a:ext>
          </a:extLst>
        </xdr:cNvPr>
        <xdr:cNvSpPr/>
      </xdr:nvSpPr>
      <xdr:spPr>
        <a:xfrm>
          <a:off x="22567900" y="8077200"/>
          <a:ext cx="495300" cy="2565400"/>
        </a:xfrm>
        <a:prstGeom prst="rect">
          <a:avLst/>
        </a:prstGeom>
        <a:solidFill>
          <a:schemeClr val="bg1">
            <a:lumMod val="6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wordArtVert" rtlCol="0" anchor="ctr"/>
        <a:lstStyle/>
        <a:p>
          <a:pPr algn="ctr"/>
          <a:r>
            <a:rPr lang="en-IN" sz="1200" b="1">
              <a:solidFill>
                <a:schemeClr val="tx1"/>
              </a:solidFill>
            </a:rPr>
            <a:t>DASHBOARD</a:t>
          </a:r>
          <a:r>
            <a:rPr lang="en-IN" sz="1200" b="1" baseline="0">
              <a:solidFill>
                <a:schemeClr val="tx1"/>
              </a:solidFill>
            </a:rPr>
            <a:t> 3</a:t>
          </a:r>
          <a:endParaRPr lang="en-IN" sz="1200" b="1">
            <a:solidFill>
              <a:schemeClr val="tx1"/>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52.662146296294" backgroundQuery="1" createdVersion="8" refreshedVersion="8" minRefreshableVersion="3" recordCount="0" supportSubquery="1" supportAdvancedDrill="1" xr:uid="{9AAA764A-920F-4096-96CF-3EA73E82D384}">
  <cacheSource type="external" connectionId="2"/>
  <cacheFields count="5">
    <cacheField name="[Table2].[Gender].[Gender]" caption="Gender" numFmtId="0" hierarchy="1" level="1">
      <sharedItems containsSemiMixedTypes="0" containsNonDate="0" containsString="0"/>
    </cacheField>
    <cacheField name="[Table2].[State].[State]" caption="State" numFmtId="0" level="1">
      <sharedItems containsSemiMixedTypes="0" containsNonDate="0" containsString="0"/>
    </cacheField>
    <cacheField name="[Table2].[Mode or Method].[Mode or Method]" caption="Mode or Method" numFmtId="0" hierarchy="2" level="1">
      <sharedItems count="8">
        <s v="By Coming under Vehicles"/>
        <s v="By Drowning"/>
        <s v="By Hanging"/>
        <s v="By Other Means"/>
        <s v="By Poison/Pills"/>
        <s v="By Self Immolation"/>
        <s v="By Touching Electric Wire"/>
        <s v="Jumping"/>
      </sharedItems>
    </cacheField>
    <cacheField name="[Measures].[Sum of Total No.]" caption="Sum of Total No." numFmtId="0" hierarchy="10" level="32767"/>
    <cacheField name="[Table2].[Education Qualification].[Education Qualification]" caption="Education Qualification" numFmtId="0" hierarchy="4" level="1">
      <sharedItems count="8">
        <s v="Diploma/Certificate/ ITI"/>
        <s v="Graduate and above"/>
        <s v="Hr. Secondary/ Intermediate"/>
        <s v="Matriculate/ Secondary"/>
        <s v="No Education"/>
        <s v="Professionals"/>
        <s v="Status Not known"/>
        <s v="up to class–8th"/>
      </sharedItems>
    </cacheField>
  </cacheFields>
  <cacheHierarchies count="11">
    <cacheHierarchy uniqueName="[Table2].[State]" caption="State" attribute="1" defaultMemberUniqueName="[Table2].[State].[All]" allUniqueName="[Table2].[State].[All]" dimensionUniqueName="[Table2]" displayFolder="" count="2" memberValueDatatype="130" unbalanced="0">
      <fieldsUsage count="2">
        <fieldUsage x="-1"/>
        <fieldUsage x="1"/>
      </fieldsUsage>
    </cacheHierarchy>
    <cacheHierarchy uniqueName="[Table2].[Gender]" caption="Gender" attribute="1" defaultMemberUniqueName="[Table2].[Gender].[All]" allUniqueName="[Table2].[Gender].[All]" dimensionUniqueName="[Table2]" displayFolder="" count="2" memberValueDatatype="130" unbalanced="0">
      <fieldsUsage count="2">
        <fieldUsage x="-1"/>
        <fieldUsage x="0"/>
      </fieldsUsage>
    </cacheHierarchy>
    <cacheHierarchy uniqueName="[Table2].[Mode or Method]" caption="Mode or Method" attribute="1" defaultMemberUniqueName="[Table2].[Mode or Method].[All]" allUniqueName="[Table2].[Mode or Method].[All]" dimensionUniqueName="[Table2]" displayFolder="" count="2" memberValueDatatype="130" unbalanced="0">
      <fieldsUsage count="2">
        <fieldUsage x="-1"/>
        <fieldUsage x="2"/>
      </fieldsUsage>
    </cacheHierarchy>
    <cacheHierarchy uniqueName="[Table2].[Causes]" caption="Causes" attribute="1" defaultMemberUniqueName="[Table2].[Causes].[All]" allUniqueName="[Table2].[Causes].[All]" dimensionUniqueName="[Table2]" displayFolder="" count="2" memberValueDatatype="130" unbalanced="0"/>
    <cacheHierarchy uniqueName="[Table2].[Education Qualification]" caption="Education Qualification" attribute="1" defaultMemberUniqueName="[Table2].[Education Qualification].[All]" allUniqueName="[Table2].[Education Qualification].[All]" dimensionUniqueName="[Table2]" displayFolder="" count="2" memberValueDatatype="130" unbalanced="0">
      <fieldsUsage count="2">
        <fieldUsage x="-1"/>
        <fieldUsage x="4"/>
      </fieldsUsage>
    </cacheHierarchy>
    <cacheHierarchy uniqueName="[Table2].[Status]" caption="Status" attribute="1" defaultMemberUniqueName="[Table2].[Status].[All]" allUniqueName="[Table2].[Status].[All]" dimensionUniqueName="[Table2]" displayFolder="" count="2" memberValueDatatype="130" unbalanced="0"/>
    <cacheHierarchy uniqueName="[Table2].[Profession]" caption="Profession" attribute="1" defaultMemberUniqueName="[Table2].[Profession].[All]" allUniqueName="[Table2].[Profession].[All]" dimensionUniqueName="[Table2]" displayFolder="" count="2" memberValueDatatype="130" unbalanced="0"/>
    <cacheHierarchy uniqueName="[Table2].[Total No.]" caption="Total No." attribute="1" defaultMemberUniqueName="[Table2].[Total No.].[All]" allUniqueName="[Table2].[Total No.].[All]" dimensionUniqueName="[Table2]" displayFolder="" count="2"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oneField="1" hidden="1">
      <fieldsUsage count="1">
        <fieldUsage x="3"/>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52.662146759256" backgroundQuery="1" createdVersion="8" refreshedVersion="8" minRefreshableVersion="3" recordCount="0" supportSubquery="1" supportAdvancedDrill="1" xr:uid="{B2D686A3-574D-44F2-BF6A-769CC390ACA4}">
  <cacheSource type="external" connectionId="2"/>
  <cacheFields count="4">
    <cacheField name="[Table2].[Gender].[Gender]" caption="Gender" numFmtId="0" hierarchy="1" level="1">
      <sharedItems containsSemiMixedTypes="0" containsNonDate="0" containsString="0"/>
    </cacheField>
    <cacheField name="[Table2].[State].[State]" caption="State" numFmtId="0" level="1">
      <sharedItems containsSemiMixedTypes="0" containsNonDate="0" containsString="0"/>
    </cacheField>
    <cacheField name="[Table2].[Mode or Method].[Mode or Method]" caption="Mode or Method" numFmtId="0" hierarchy="2" level="1">
      <sharedItems count="8">
        <s v="By Coming under Vehicles"/>
        <s v="By Drowning"/>
        <s v="By Hanging"/>
        <s v="By Other Means"/>
        <s v="By Poison/Pills"/>
        <s v="By Self Immolation"/>
        <s v="By Touching Electric Wire"/>
        <s v="Jumping"/>
      </sharedItems>
    </cacheField>
    <cacheField name="[Measures].[Sum of Total No.]" caption="Sum of Total No." numFmtId="0" hierarchy="10" level="32767"/>
  </cacheFields>
  <cacheHierarchies count="11">
    <cacheHierarchy uniqueName="[Table2].[State]" caption="State" attribute="1" defaultMemberUniqueName="[Table2].[State].[All]" allUniqueName="[Table2].[State].[All]" dimensionUniqueName="[Table2]" displayFolder="" count="2" memberValueDatatype="130" unbalanced="0">
      <fieldsUsage count="2">
        <fieldUsage x="-1"/>
        <fieldUsage x="1"/>
      </fieldsUsage>
    </cacheHierarchy>
    <cacheHierarchy uniqueName="[Table2].[Gender]" caption="Gender" attribute="1" defaultMemberUniqueName="[Table2].[Gender].[All]" allUniqueName="[Table2].[Gender].[All]" dimensionUniqueName="[Table2]" displayFolder="" count="2" memberValueDatatype="130" unbalanced="0">
      <fieldsUsage count="2">
        <fieldUsage x="-1"/>
        <fieldUsage x="0"/>
      </fieldsUsage>
    </cacheHierarchy>
    <cacheHierarchy uniqueName="[Table2].[Mode or Method]" caption="Mode or Method" attribute="1" defaultMemberUniqueName="[Table2].[Mode or Method].[All]" allUniqueName="[Table2].[Mode or Method].[All]" dimensionUniqueName="[Table2]" displayFolder="" count="2" memberValueDatatype="130" unbalanced="0">
      <fieldsUsage count="2">
        <fieldUsage x="-1"/>
        <fieldUsage x="2"/>
      </fieldsUsage>
    </cacheHierarchy>
    <cacheHierarchy uniqueName="[Table2].[Causes]" caption="Causes" attribute="1" defaultMemberUniqueName="[Table2].[Causes].[All]" allUniqueName="[Table2].[Causes].[All]" dimensionUniqueName="[Table2]" displayFolder="" count="0" memberValueDatatype="130" unbalanced="0"/>
    <cacheHierarchy uniqueName="[Table2].[Education Qualification]" caption="Education Qualification" attribute="1" defaultMemberUniqueName="[Table2].[Education Qualification].[All]" allUniqueName="[Table2].[Education Qualification].[All]" dimensionUniqueName="[Table2]" displayFolder="" count="0" memberValueDatatype="130" unbalanced="0"/>
    <cacheHierarchy uniqueName="[Table2].[Status]" caption="Status" attribute="1" defaultMemberUniqueName="[Table2].[Status].[All]" allUniqueName="[Table2].[Status].[All]" dimensionUniqueName="[Table2]" displayFolder="" count="0" memberValueDatatype="130" unbalanced="0"/>
    <cacheHierarchy uniqueName="[Table2].[Profession]" caption="Profession" attribute="1" defaultMemberUniqueName="[Table2].[Profession].[All]" allUniqueName="[Table2].[Profession].[All]" dimensionUniqueName="[Table2]" displayFolder="" count="0" memberValueDatatype="130" unbalanced="0"/>
    <cacheHierarchy uniqueName="[Table2].[Total No.]" caption="Total No." attribute="1" defaultMemberUniqueName="[Table2].[Total No.].[All]" allUniqueName="[Table2].[Total No.].[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oneField="1" hidden="1">
      <fieldsUsage count="1">
        <fieldUsage x="3"/>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52.662147106479" backgroundQuery="1" createdVersion="8" refreshedVersion="8" minRefreshableVersion="3" recordCount="0" supportSubquery="1" supportAdvancedDrill="1" xr:uid="{DCD1BB03-9740-4050-9551-34C447233263}">
  <cacheSource type="external" connectionId="2"/>
  <cacheFields count="5">
    <cacheField name="[Table2].[Gender].[Gender]" caption="Gender" numFmtId="0" hierarchy="1" level="1">
      <sharedItems containsSemiMixedTypes="0" containsNonDate="0" containsString="0"/>
    </cacheField>
    <cacheField name="[Table2].[State].[State]" caption="State" numFmtId="0" level="1">
      <sharedItems containsSemiMixedTypes="0" containsNonDate="0" containsString="0"/>
    </cacheField>
    <cacheField name="[Table2].[Mode or Method].[Mode or Method]" caption="Mode or Method" numFmtId="0" hierarchy="2" level="1">
      <sharedItems count="8">
        <s v="By Coming under Vehicles"/>
        <s v="By Drowning"/>
        <s v="By Hanging"/>
        <s v="By Other Means"/>
        <s v="By Poison/Pills"/>
        <s v="By Self Immolation"/>
        <s v="By Touching Electric Wire"/>
        <s v="Jumping"/>
      </sharedItems>
    </cacheField>
    <cacheField name="[Measures].[Sum of Total No.]" caption="Sum of Total No." numFmtId="0" hierarchy="10" level="32767"/>
    <cacheField name="[Table2].[Causes].[Causes]" caption="Causes" numFmtId="0" hierarchy="3" level="1">
      <sharedItems count="20">
        <s v="Death of Dear Person"/>
        <s v="Divorce"/>
        <s v="Dowry Related Issues"/>
        <s v="Drug Abuse/Alcoholic Addiction"/>
        <s v="Extra Marital affairs"/>
        <s v="Failure in Examination"/>
        <s v="Fall in Social Reputation"/>
        <s v="Family Problems"/>
        <s v="Ideological Causes/Hero Worshipping"/>
        <s v="Illegitimate Pregnancy"/>
        <s v="Illness"/>
        <s v="Impotency/Infertility"/>
        <s v="Love Affairs"/>
        <s v="Marriage Issues"/>
        <s v="Other Causes"/>
        <s v="Physical Abuse (Rape)"/>
        <s v="Poverty"/>
        <s v="Professional/Career Problem"/>
        <s v="Property Dispute"/>
        <s v="Unemployment"/>
      </sharedItems>
    </cacheField>
  </cacheFields>
  <cacheHierarchies count="11">
    <cacheHierarchy uniqueName="[Table2].[State]" caption="State" attribute="1" defaultMemberUniqueName="[Table2].[State].[All]" allUniqueName="[Table2].[State].[All]" dimensionUniqueName="[Table2]" displayFolder="" count="2" memberValueDatatype="130" unbalanced="0">
      <fieldsUsage count="2">
        <fieldUsage x="-1"/>
        <fieldUsage x="1"/>
      </fieldsUsage>
    </cacheHierarchy>
    <cacheHierarchy uniqueName="[Table2].[Gender]" caption="Gender" attribute="1" defaultMemberUniqueName="[Table2].[Gender].[All]" allUniqueName="[Table2].[Gender].[All]" dimensionUniqueName="[Table2]" displayFolder="" count="2" memberValueDatatype="130" unbalanced="0">
      <fieldsUsage count="2">
        <fieldUsage x="-1"/>
        <fieldUsage x="0"/>
      </fieldsUsage>
    </cacheHierarchy>
    <cacheHierarchy uniqueName="[Table2].[Mode or Method]" caption="Mode or Method" attribute="1" defaultMemberUniqueName="[Table2].[Mode or Method].[All]" allUniqueName="[Table2].[Mode or Method].[All]" dimensionUniqueName="[Table2]" displayFolder="" count="2" memberValueDatatype="130" unbalanced="0">
      <fieldsUsage count="2">
        <fieldUsage x="-1"/>
        <fieldUsage x="2"/>
      </fieldsUsage>
    </cacheHierarchy>
    <cacheHierarchy uniqueName="[Table2].[Causes]" caption="Causes" attribute="1" defaultMemberUniqueName="[Table2].[Causes].[All]" allUniqueName="[Table2].[Causes].[All]" dimensionUniqueName="[Table2]" displayFolder="" count="2" memberValueDatatype="130" unbalanced="0">
      <fieldsUsage count="2">
        <fieldUsage x="-1"/>
        <fieldUsage x="4"/>
      </fieldsUsage>
    </cacheHierarchy>
    <cacheHierarchy uniqueName="[Table2].[Education Qualification]" caption="Education Qualification" attribute="1" defaultMemberUniqueName="[Table2].[Education Qualification].[All]" allUniqueName="[Table2].[Education Qualification].[All]" dimensionUniqueName="[Table2]" displayFolder="" count="0" memberValueDatatype="130" unbalanced="0"/>
    <cacheHierarchy uniqueName="[Table2].[Status]" caption="Status" attribute="1" defaultMemberUniqueName="[Table2].[Status].[All]" allUniqueName="[Table2].[Status].[All]" dimensionUniqueName="[Table2]" displayFolder="" count="0" memberValueDatatype="130" unbalanced="0"/>
    <cacheHierarchy uniqueName="[Table2].[Profession]" caption="Profession" attribute="1" defaultMemberUniqueName="[Table2].[Profession].[All]" allUniqueName="[Table2].[Profession].[All]" dimensionUniqueName="[Table2]" displayFolder="" count="0" memberValueDatatype="130" unbalanced="0"/>
    <cacheHierarchy uniqueName="[Table2].[Total No.]" caption="Total No." attribute="1" defaultMemberUniqueName="[Table2].[Total No.].[All]" allUniqueName="[Table2].[Total No.].[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oneField="1" hidden="1">
      <fieldsUsage count="1">
        <fieldUsage x="3"/>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52.662147453702" backgroundQuery="1" createdVersion="8" refreshedVersion="8" minRefreshableVersion="3" recordCount="0" supportSubquery="1" supportAdvancedDrill="1" xr:uid="{7697A505-B964-4A55-9264-4C8817E04BCD}">
  <cacheSource type="external" connectionId="2"/>
  <cacheFields count="6">
    <cacheField name="[Table2].[Gender].[Gender]" caption="Gender" numFmtId="0" hierarchy="1" level="1">
      <sharedItems containsSemiMixedTypes="0" containsNonDate="0" containsString="0"/>
    </cacheField>
    <cacheField name="[Table2].[State].[State]" caption="State" numFmtId="0" level="1">
      <sharedItems containsSemiMixedTypes="0" containsNonDate="0" containsString="0"/>
    </cacheField>
    <cacheField name="[Table2].[Mode or Method].[Mode or Method]" caption="Mode or Method" numFmtId="0" hierarchy="2" level="1">
      <sharedItems count="8">
        <s v="By Coming under Vehicles"/>
        <s v="By Drowning"/>
        <s v="By Hanging"/>
        <s v="By Other Means"/>
        <s v="By Poison/Pills"/>
        <s v="By Self Immolation"/>
        <s v="By Touching Electric Wire"/>
        <s v="Jumping"/>
      </sharedItems>
    </cacheField>
    <cacheField name="[Measures].[Sum of Total No.]" caption="Sum of Total No." numFmtId="0" hierarchy="10" level="32767"/>
    <cacheField name="[Table2].[Education Qualification].[Education Qualification]" caption="Education Qualification" numFmtId="0" hierarchy="4" level="1">
      <sharedItems count="8">
        <s v="Diploma/Certificate/ ITI"/>
        <s v="Graduate and above"/>
        <s v="Hr. Secondary/ Intermediate"/>
        <s v="Matriculate/ Secondary"/>
        <s v="No Education"/>
        <s v="Professionals"/>
        <s v="Status Not known"/>
        <s v="up to class–8th"/>
      </sharedItems>
    </cacheField>
    <cacheField name="[Table2].[Status].[Status]" caption="Status" numFmtId="0" hierarchy="5" level="1">
      <sharedItems count="6">
        <s v="Divorcee"/>
        <s v="Married"/>
        <s v="Others"/>
        <s v="Separated"/>
        <s v="Un-Married"/>
        <s v="Widowed/Widower"/>
      </sharedItems>
    </cacheField>
  </cacheFields>
  <cacheHierarchies count="11">
    <cacheHierarchy uniqueName="[Table2].[State]" caption="State" attribute="1" defaultMemberUniqueName="[Table2].[State].[All]" allUniqueName="[Table2].[State].[All]" dimensionUniqueName="[Table2]" displayFolder="" count="2" memberValueDatatype="130" unbalanced="0">
      <fieldsUsage count="2">
        <fieldUsage x="-1"/>
        <fieldUsage x="1"/>
      </fieldsUsage>
    </cacheHierarchy>
    <cacheHierarchy uniqueName="[Table2].[Gender]" caption="Gender" attribute="1" defaultMemberUniqueName="[Table2].[Gender].[All]" allUniqueName="[Table2].[Gender].[All]" dimensionUniqueName="[Table2]" displayFolder="" count="2" memberValueDatatype="130" unbalanced="0">
      <fieldsUsage count="2">
        <fieldUsage x="-1"/>
        <fieldUsage x="0"/>
      </fieldsUsage>
    </cacheHierarchy>
    <cacheHierarchy uniqueName="[Table2].[Mode or Method]" caption="Mode or Method" attribute="1" defaultMemberUniqueName="[Table2].[Mode or Method].[All]" allUniqueName="[Table2].[Mode or Method].[All]" dimensionUniqueName="[Table2]" displayFolder="" count="2" memberValueDatatype="130" unbalanced="0">
      <fieldsUsage count="2">
        <fieldUsage x="-1"/>
        <fieldUsage x="2"/>
      </fieldsUsage>
    </cacheHierarchy>
    <cacheHierarchy uniqueName="[Table2].[Causes]" caption="Causes" attribute="1" defaultMemberUniqueName="[Table2].[Causes].[All]" allUniqueName="[Table2].[Causes].[All]" dimensionUniqueName="[Table2]" displayFolder="" count="0" memberValueDatatype="130" unbalanced="0"/>
    <cacheHierarchy uniqueName="[Table2].[Education Qualification]" caption="Education Qualification" attribute="1" defaultMemberUniqueName="[Table2].[Education Qualification].[All]" allUniqueName="[Table2].[Education Qualification].[All]" dimensionUniqueName="[Table2]" displayFolder="" count="2" memberValueDatatype="130" unbalanced="0">
      <fieldsUsage count="2">
        <fieldUsage x="-1"/>
        <fieldUsage x="4"/>
      </fieldsUsage>
    </cacheHierarchy>
    <cacheHierarchy uniqueName="[Table2].[Status]" caption="Status" attribute="1" defaultMemberUniqueName="[Table2].[Status].[All]" allUniqueName="[Table2].[Status].[All]" dimensionUniqueName="[Table2]" displayFolder="" count="2" memberValueDatatype="130" unbalanced="0">
      <fieldsUsage count="2">
        <fieldUsage x="-1"/>
        <fieldUsage x="5"/>
      </fieldsUsage>
    </cacheHierarchy>
    <cacheHierarchy uniqueName="[Table2].[Profession]" caption="Profession" attribute="1" defaultMemberUniqueName="[Table2].[Profession].[All]" allUniqueName="[Table2].[Profession].[All]" dimensionUniqueName="[Table2]" displayFolder="" count="0" memberValueDatatype="130" unbalanced="0"/>
    <cacheHierarchy uniqueName="[Table2].[Total No.]" caption="Total No." attribute="1" defaultMemberUniqueName="[Table2].[Total No.].[All]" allUniqueName="[Table2].[Total No.].[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oneField="1" hidden="1">
      <fieldsUsage count="1">
        <fieldUsage x="3"/>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52.662147800926" backgroundQuery="1" createdVersion="8" refreshedVersion="8" minRefreshableVersion="3" recordCount="0" supportSubquery="1" supportAdvancedDrill="1" xr:uid="{D9E12A76-60AF-40FA-A2A8-A1140E045448}">
  <cacheSource type="external" connectionId="2"/>
  <cacheFields count="6">
    <cacheField name="[Table2].[Gender].[Gender]" caption="Gender" numFmtId="0" hierarchy="1" level="1">
      <sharedItems containsSemiMixedTypes="0" containsNonDate="0" containsString="0"/>
    </cacheField>
    <cacheField name="[Table2].[State].[State]" caption="State" numFmtId="0" level="1">
      <sharedItems containsSemiMixedTypes="0" containsNonDate="0" containsString="0"/>
    </cacheField>
    <cacheField name="[Table2].[Mode or Method].[Mode or Method]" caption="Mode or Method" numFmtId="0" hierarchy="2" level="1">
      <sharedItems count="8">
        <s v="By Coming under Vehicles"/>
        <s v="By Drowning"/>
        <s v="By Hanging"/>
        <s v="By Other Means"/>
        <s v="By Poison/Pills"/>
        <s v="By Self Immolation"/>
        <s v="By Touching Electric Wire"/>
        <s v="Jumping"/>
      </sharedItems>
    </cacheField>
    <cacheField name="[Measures].[Sum of Total No.]" caption="Sum of Total No." numFmtId="0" hierarchy="10" level="32767"/>
    <cacheField name="[Table2].[Education Qualification].[Education Qualification]" caption="Education Qualification" numFmtId="0" hierarchy="4" level="1">
      <sharedItems count="8">
        <s v="Diploma/Certificate/ ITI"/>
        <s v="Graduate and above"/>
        <s v="Hr. Secondary/ Intermediate"/>
        <s v="Matriculate/ Secondary"/>
        <s v="No Education"/>
        <s v="Professionals"/>
        <s v="Status Not known"/>
        <s v="up to class–8th"/>
      </sharedItems>
    </cacheField>
    <cacheField name="[Table2].[Profession].[Profession]" caption="Profession" numFmtId="0" hierarchy="6" level="1">
      <sharedItems count="9">
        <s v="Daily Wage Earner"/>
        <s v="Farmers/Cultivators"/>
        <s v="Government Servants"/>
        <s v="House wife"/>
        <s v="Private/Public Sector"/>
        <s v="Retired Persons"/>
        <s v="Self-employed Persons"/>
        <s v="Students"/>
        <s v="Unemployed Persons"/>
      </sharedItems>
    </cacheField>
  </cacheFields>
  <cacheHierarchies count="11">
    <cacheHierarchy uniqueName="[Table2].[State]" caption="State" attribute="1" defaultMemberUniqueName="[Table2].[State].[All]" allUniqueName="[Table2].[State].[All]" dimensionUniqueName="[Table2]" displayFolder="" count="2" memberValueDatatype="130" unbalanced="0">
      <fieldsUsage count="2">
        <fieldUsage x="-1"/>
        <fieldUsage x="1"/>
      </fieldsUsage>
    </cacheHierarchy>
    <cacheHierarchy uniqueName="[Table2].[Gender]" caption="Gender" attribute="1" defaultMemberUniqueName="[Table2].[Gender].[All]" allUniqueName="[Table2].[Gender].[All]" dimensionUniqueName="[Table2]" displayFolder="" count="2" memberValueDatatype="130" unbalanced="0">
      <fieldsUsage count="2">
        <fieldUsage x="-1"/>
        <fieldUsage x="0"/>
      </fieldsUsage>
    </cacheHierarchy>
    <cacheHierarchy uniqueName="[Table2].[Mode or Method]" caption="Mode or Method" attribute="1" defaultMemberUniqueName="[Table2].[Mode or Method].[All]" allUniqueName="[Table2].[Mode or Method].[All]" dimensionUniqueName="[Table2]" displayFolder="" count="2" memberValueDatatype="130" unbalanced="0">
      <fieldsUsage count="2">
        <fieldUsage x="-1"/>
        <fieldUsage x="2"/>
      </fieldsUsage>
    </cacheHierarchy>
    <cacheHierarchy uniqueName="[Table2].[Causes]" caption="Causes" attribute="1" defaultMemberUniqueName="[Table2].[Causes].[All]" allUniqueName="[Table2].[Causes].[All]" dimensionUniqueName="[Table2]" displayFolder="" count="0" memberValueDatatype="130" unbalanced="0"/>
    <cacheHierarchy uniqueName="[Table2].[Education Qualification]" caption="Education Qualification" attribute="1" defaultMemberUniqueName="[Table2].[Education Qualification].[All]" allUniqueName="[Table2].[Education Qualification].[All]" dimensionUniqueName="[Table2]" displayFolder="" count="2" memberValueDatatype="130" unbalanced="0">
      <fieldsUsage count="2">
        <fieldUsage x="-1"/>
        <fieldUsage x="4"/>
      </fieldsUsage>
    </cacheHierarchy>
    <cacheHierarchy uniqueName="[Table2].[Status]" caption="Status" attribute="1" defaultMemberUniqueName="[Table2].[Status].[All]" allUniqueName="[Table2].[Status].[All]" dimensionUniqueName="[Table2]" displayFolder="" count="0" memberValueDatatype="130" unbalanced="0"/>
    <cacheHierarchy uniqueName="[Table2].[Profession]" caption="Profession" attribute="1" defaultMemberUniqueName="[Table2].[Profession].[All]" allUniqueName="[Table2].[Profession].[All]" dimensionUniqueName="[Table2]" displayFolder="" count="2" memberValueDatatype="130" unbalanced="0">
      <fieldsUsage count="2">
        <fieldUsage x="-1"/>
        <fieldUsage x="5"/>
      </fieldsUsage>
    </cacheHierarchy>
    <cacheHierarchy uniqueName="[Table2].[Total No.]" caption="Total No." attribute="1" defaultMemberUniqueName="[Table2].[Total No.].[All]" allUniqueName="[Table2].[Total No.].[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oneField="1" hidden="1">
      <fieldsUsage count="1">
        <fieldUsage x="3"/>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52.662148148149" backgroundQuery="1" createdVersion="8" refreshedVersion="8" minRefreshableVersion="3" recordCount="0" supportSubquery="1" supportAdvancedDrill="1" xr:uid="{9F96C037-D2B6-44FE-93C6-18AAFF85B615}">
  <cacheSource type="external" connectionId="2"/>
  <cacheFields count="6">
    <cacheField name="[Table2].[State].[State]" caption="State" numFmtId="0" level="1">
      <sharedItems count="37">
        <s v="Andaman and Nicobar Islands"/>
        <s v="Andhra Pradesh"/>
        <s v="Arunachal Pradesh"/>
        <s v="Assam"/>
        <s v="Bihar"/>
        <s v="Chandigarh"/>
        <s v="Chhattisgarh"/>
        <s v="Dadra and Nagar Haveli"/>
        <s v="Daman and Diu"/>
        <s v="Delhi"/>
        <s v="Goa"/>
        <s v="Gujarat"/>
        <s v="Haryana"/>
        <s v="Himachal Pradesh"/>
        <s v="Jammu and Kashmir"/>
        <s v="Jharkhand"/>
        <s v="Karnataka"/>
        <s v="Kerala"/>
        <s v="Ladakh"/>
        <s v="Lakshadweep"/>
        <s v="Madhya Pradesh"/>
        <s v="Maharashtra"/>
        <s v="Manipur"/>
        <s v="Meghalaya"/>
        <s v="Mizoram"/>
        <s v="Nagaland"/>
        <s v="Odisha"/>
        <s v="Puducherry"/>
        <s v="Punjab"/>
        <s v="Rajasthan"/>
        <s v="Sikkim"/>
        <s v="Tamil Nadu"/>
        <s v="Telangana"/>
        <s v="Tripura"/>
        <s v="Uttar Pradesh"/>
        <s v="Uttarakhand"/>
        <s v="West Bengal"/>
      </sharedItems>
    </cacheField>
    <cacheField name="[Table2].[Mode or Method].[Mode or Method]" caption="Mode or Method" numFmtId="0" hierarchy="2" level="1">
      <sharedItems count="8">
        <s v="By Coming under Vehicles"/>
        <s v="By Drowning"/>
        <s v="By Hanging"/>
        <s v="By Other Means"/>
        <s v="By Poison/Pills"/>
        <s v="By Self Immolation"/>
        <s v="By Touching Electric Wire"/>
        <s v="Jumping"/>
      </sharedItems>
    </cacheField>
    <cacheField name="[Measures].[Sum of Total No.]" caption="Sum of Total No." numFmtId="0" hierarchy="10" level="32767"/>
    <cacheField name="[Table2].[Education Qualification].[Education Qualification]" caption="Education Qualification" numFmtId="0" hierarchy="4" level="1">
      <sharedItems count="8">
        <s v="Diploma/Certificate/ ITI"/>
        <s v="Graduate and above"/>
        <s v="Hr. Secondary/ Intermediate"/>
        <s v="Matriculate/ Secondary"/>
        <s v="No Education"/>
        <s v="Professionals"/>
        <s v="Status Not known"/>
        <s v="up to class–8th"/>
      </sharedItems>
    </cacheField>
    <cacheField name="[Table2].[Status].[Status]" caption="Status" numFmtId="0" hierarchy="5" level="1">
      <sharedItems count="6">
        <s v="Divorcee"/>
        <s v="Married"/>
        <s v="Others"/>
        <s v="Separated"/>
        <s v="Un-Married"/>
        <s v="Widowed/Widower"/>
      </sharedItems>
    </cacheField>
    <cacheField name="[Table2].[Gender].[Gender]" caption="Gender" numFmtId="0" hierarchy="1" level="1">
      <sharedItems containsSemiMixedTypes="0" containsNonDate="0" containsString="0"/>
    </cacheField>
  </cacheFields>
  <cacheHierarchies count="11">
    <cacheHierarchy uniqueName="[Table2].[State]" caption="State" attribute="1" defaultMemberUniqueName="[Table2].[State].[All]" allUniqueName="[Table2].[State].[All]" dimensionUniqueName="[Table2]" displayFolder="" count="2" memberValueDatatype="130" unbalanced="0">
      <fieldsUsage count="2">
        <fieldUsage x="-1"/>
        <fieldUsage x="0"/>
      </fieldsUsage>
    </cacheHierarchy>
    <cacheHierarchy uniqueName="[Table2].[Gender]" caption="Gender" attribute="1" defaultMemberUniqueName="[Table2].[Gender].[All]" allUniqueName="[Table2].[Gender].[All]" dimensionUniqueName="[Table2]" displayFolder="" count="2" memberValueDatatype="130" unbalanced="0">
      <fieldsUsage count="2">
        <fieldUsage x="-1"/>
        <fieldUsage x="5"/>
      </fieldsUsage>
    </cacheHierarchy>
    <cacheHierarchy uniqueName="[Table2].[Mode or Method]" caption="Mode or Method" attribute="1" defaultMemberUniqueName="[Table2].[Mode or Method].[All]" allUniqueName="[Table2].[Mode or Method].[All]" dimensionUniqueName="[Table2]" displayFolder="" count="2" memberValueDatatype="130" unbalanced="0">
      <fieldsUsage count="2">
        <fieldUsage x="-1"/>
        <fieldUsage x="1"/>
      </fieldsUsage>
    </cacheHierarchy>
    <cacheHierarchy uniqueName="[Table2].[Causes]" caption="Causes" attribute="1" defaultMemberUniqueName="[Table2].[Causes].[All]" allUniqueName="[Table2].[Causes].[All]" dimensionUniqueName="[Table2]" displayFolder="" count="0" memberValueDatatype="130" unbalanced="0"/>
    <cacheHierarchy uniqueName="[Table2].[Education Qualification]" caption="Education Qualification" attribute="1" defaultMemberUniqueName="[Table2].[Education Qualification].[All]" allUniqueName="[Table2].[Education Qualification].[All]" dimensionUniqueName="[Table2]" displayFolder="" count="2" memberValueDatatype="130" unbalanced="0">
      <fieldsUsage count="2">
        <fieldUsage x="-1"/>
        <fieldUsage x="3"/>
      </fieldsUsage>
    </cacheHierarchy>
    <cacheHierarchy uniqueName="[Table2].[Status]" caption="Status" attribute="1" defaultMemberUniqueName="[Table2].[Status].[All]" allUniqueName="[Table2].[Status].[All]" dimensionUniqueName="[Table2]" displayFolder="" count="2" memberValueDatatype="130" unbalanced="0">
      <fieldsUsage count="2">
        <fieldUsage x="-1"/>
        <fieldUsage x="4"/>
      </fieldsUsage>
    </cacheHierarchy>
    <cacheHierarchy uniqueName="[Table2].[Profession]" caption="Profession" attribute="1" defaultMemberUniqueName="[Table2].[Profession].[All]" allUniqueName="[Table2].[Profession].[All]" dimensionUniqueName="[Table2]" displayFolder="" count="0" memberValueDatatype="130" unbalanced="0"/>
    <cacheHierarchy uniqueName="[Table2].[Total No.]" caption="Total No." attribute="1" defaultMemberUniqueName="[Table2].[Total No.].[All]" allUniqueName="[Table2].[Total No.].[All]" dimensionUniqueName="[Table2]" displayFolder="" count="2"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oneField="1" hidden="1">
      <fieldsUsage count="1">
        <fieldUsage x="2"/>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52.662148726849" backgroundQuery="1" createdVersion="8" refreshedVersion="8" minRefreshableVersion="3" recordCount="0" supportSubquery="1" supportAdvancedDrill="1" xr:uid="{71DEE3A1-2737-4537-88ED-3E2BBD889C22}">
  <cacheSource type="external" connectionId="2"/>
  <cacheFields count="6">
    <cacheField name="[Table2].[Mode or Method].[Mode or Method]" caption="Mode or Method" numFmtId="0" hierarchy="2" level="1">
      <sharedItems count="8">
        <s v="By Coming under Vehicles"/>
        <s v="By Drowning"/>
        <s v="By Hanging"/>
        <s v="By Other Means"/>
        <s v="By Poison/Pills"/>
        <s v="By Self Immolation"/>
        <s v="By Touching Electric Wire"/>
        <s v="Jumping"/>
      </sharedItems>
    </cacheField>
    <cacheField name="[Measures].[Sum of Total No.]" caption="Sum of Total No." numFmtId="0" hierarchy="10" level="32767"/>
    <cacheField name="[Table2].[Education Qualification].[Education Qualification]" caption="Education Qualification" numFmtId="0" hierarchy="4" level="1">
      <sharedItems count="8">
        <s v="Diploma/Certificate/ ITI"/>
        <s v="Graduate and above"/>
        <s v="Hr. Secondary/ Intermediate"/>
        <s v="Matriculate/ Secondary"/>
        <s v="No Education"/>
        <s v="Professionals"/>
        <s v="Status Not known"/>
        <s v="up to class–8th"/>
      </sharedItems>
    </cacheField>
    <cacheField name="[Table2].[Profession].[Profession]" caption="Profession" numFmtId="0" hierarchy="6" level="1">
      <sharedItems count="9">
        <s v="Daily Wage Earner"/>
        <s v="Farmers/Cultivators"/>
        <s v="Government Servants"/>
        <s v="House wife"/>
        <s v="Private/Public Sector"/>
        <s v="Retired Persons"/>
        <s v="Self-employed Persons"/>
        <s v="Students"/>
        <s v="Unemployed Persons"/>
      </sharedItems>
    </cacheField>
    <cacheField name="[Table2].[Gender].[Gender]" caption="Gender" numFmtId="0" hierarchy="1" level="1">
      <sharedItems count="3">
        <s v="Female"/>
        <s v="Male"/>
        <s v="Transgender"/>
      </sharedItems>
    </cacheField>
    <cacheField name="[Table2].[Causes].[Causes]" caption="Causes" numFmtId="0" hierarchy="3" level="1">
      <sharedItems containsSemiMixedTypes="0" containsNonDate="0" containsString="0"/>
    </cacheField>
  </cacheFields>
  <cacheHierarchies count="11">
    <cacheHierarchy uniqueName="[Table2].[State]" caption="State" attribute="1" defaultMemberUniqueName="[Table2].[State].[All]" allUniqueName="[Table2].[State].[All]" dimensionUniqueName="[Table2]" displayFolder="" count="2" memberValueDatatype="130" unbalanced="0"/>
    <cacheHierarchy uniqueName="[Table2].[Gender]" caption="Gender" attribute="1" defaultMemberUniqueName="[Table2].[Gender].[All]" allUniqueName="[Table2].[Gender].[All]" dimensionUniqueName="[Table2]" displayFolder="" count="2" memberValueDatatype="130" unbalanced="0">
      <fieldsUsage count="2">
        <fieldUsage x="-1"/>
        <fieldUsage x="4"/>
      </fieldsUsage>
    </cacheHierarchy>
    <cacheHierarchy uniqueName="[Table2].[Mode or Method]" caption="Mode or Method" attribute="1" defaultMemberUniqueName="[Table2].[Mode or Method].[All]" allUniqueName="[Table2].[Mode or Method].[All]" dimensionUniqueName="[Table2]" displayFolder="" count="2" memberValueDatatype="130" unbalanced="0">
      <fieldsUsage count="2">
        <fieldUsage x="-1"/>
        <fieldUsage x="0"/>
      </fieldsUsage>
    </cacheHierarchy>
    <cacheHierarchy uniqueName="[Table2].[Causes]" caption="Causes" attribute="1" defaultMemberUniqueName="[Table2].[Causes].[All]" allUniqueName="[Table2].[Causes].[All]" dimensionUniqueName="[Table2]" displayFolder="" count="2" memberValueDatatype="130" unbalanced="0">
      <fieldsUsage count="2">
        <fieldUsage x="-1"/>
        <fieldUsage x="5"/>
      </fieldsUsage>
    </cacheHierarchy>
    <cacheHierarchy uniqueName="[Table2].[Education Qualification]" caption="Education Qualification" attribute="1" defaultMemberUniqueName="[Table2].[Education Qualification].[All]" allUniqueName="[Table2].[Education Qualification].[All]" dimensionUniqueName="[Table2]" displayFolder="" count="2" memberValueDatatype="130" unbalanced="0">
      <fieldsUsage count="2">
        <fieldUsage x="-1"/>
        <fieldUsage x="2"/>
      </fieldsUsage>
    </cacheHierarchy>
    <cacheHierarchy uniqueName="[Table2].[Status]" caption="Status" attribute="1" defaultMemberUniqueName="[Table2].[Status].[All]" allUniqueName="[Table2].[Status].[All]" dimensionUniqueName="[Table2]" displayFolder="" count="0" memberValueDatatype="130" unbalanced="0"/>
    <cacheHierarchy uniqueName="[Table2].[Profession]" caption="Profession" attribute="1" defaultMemberUniqueName="[Table2].[Profession].[All]" allUniqueName="[Table2].[Profession].[All]" dimensionUniqueName="[Table2]" displayFolder="" count="2" memberValueDatatype="130" unbalanced="0">
      <fieldsUsage count="2">
        <fieldUsage x="-1"/>
        <fieldUsage x="3"/>
      </fieldsUsage>
    </cacheHierarchy>
    <cacheHierarchy uniqueName="[Table2].[Total No.]" caption="Total No." attribute="1" defaultMemberUniqueName="[Table2].[Total No.].[All]" allUniqueName="[Table2].[Total No.].[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oneField="1" hidden="1">
      <fieldsUsage count="1">
        <fieldUsage x="1"/>
      </fieldsUsage>
      <extLst>
        <ext xmlns:x15="http://schemas.microsoft.com/office/spreadsheetml/2010/11/main" uri="{B97F6D7D-B522-45F9-BDA1-12C45D357490}">
          <x15:cacheHierarchy aggregatedColumn="7"/>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IKA SINGH" refreshedDate="45509.021146874999" backgroundQuery="1" createdVersion="3" refreshedVersion="8" minRefreshableVersion="3" recordCount="0" supportSubquery="1" supportAdvancedDrill="1" xr:uid="{7547C41E-9FFD-4384-B5B9-A001EE5168EE}">
  <cacheSource type="external" connectionId="2">
    <extLst>
      <ext xmlns:x14="http://schemas.microsoft.com/office/spreadsheetml/2009/9/main" uri="{F057638F-6D5F-4e77-A914-E7F072B9BCA8}">
        <x14:sourceConnection name="ThisWorkbookDataModel"/>
      </ext>
    </extLst>
  </cacheSource>
  <cacheFields count="0"/>
  <cacheHierarchies count="11">
    <cacheHierarchy uniqueName="[Table2].[State]" caption="State" attribute="1" defaultMemberUniqueName="[Table2].[State].[All]" allUniqueName="[Table2].[State].[All]" dimensionUniqueName="[Table2]" displayFolder="" count="2" memberValueDatatype="130" unbalanced="0"/>
    <cacheHierarchy uniqueName="[Table2].[Gender]" caption="Gender" attribute="1" defaultMemberUniqueName="[Table2].[Gender].[All]" allUniqueName="[Table2].[Gender].[All]" dimensionUniqueName="[Table2]" displayFolder="" count="2" memberValueDatatype="130" unbalanced="0"/>
    <cacheHierarchy uniqueName="[Table2].[Mode or Method]" caption="Mode or Method" attribute="1" defaultMemberUniqueName="[Table2].[Mode or Method].[All]" allUniqueName="[Table2].[Mode or Method].[All]" dimensionUniqueName="[Table2]" displayFolder="" count="0" memberValueDatatype="130" unbalanced="0"/>
    <cacheHierarchy uniqueName="[Table2].[Causes]" caption="Causes" attribute="1" defaultMemberUniqueName="[Table2].[Causes].[All]" allUniqueName="[Table2].[Causes].[All]" dimensionUniqueName="[Table2]" displayFolder="" count="0" memberValueDatatype="130" unbalanced="0"/>
    <cacheHierarchy uniqueName="[Table2].[Education Qualification]" caption="Education Qualification" attribute="1" defaultMemberUniqueName="[Table2].[Education Qualification].[All]" allUniqueName="[Table2].[Education Qualification].[All]" dimensionUniqueName="[Table2]" displayFolder="" count="0" memberValueDatatype="130" unbalanced="0"/>
    <cacheHierarchy uniqueName="[Table2].[Status]" caption="Status" attribute="1" defaultMemberUniqueName="[Table2].[Status].[All]" allUniqueName="[Table2].[Status].[All]" dimensionUniqueName="[Table2]" displayFolder="" count="0" memberValueDatatype="130" unbalanced="0"/>
    <cacheHierarchy uniqueName="[Table2].[Profession]" caption="Profession" attribute="1" defaultMemberUniqueName="[Table2].[Profession].[All]" allUniqueName="[Table2].[Profession].[All]" dimensionUniqueName="[Table2]" displayFolder="" count="0" memberValueDatatype="130" unbalanced="0"/>
    <cacheHierarchy uniqueName="[Table2].[Total No.]" caption="Total No." attribute="1" defaultMemberUniqueName="[Table2].[Total No.].[All]" allUniqueName="[Table2].[Total No.].[All]" dimensionUniqueName="[Table2]" displayFolder="" count="0" memberValueDatatype="20" unbalanced="0"/>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otal No.]" caption="Sum of Total No." measure="1" displayFolder="" measureGroup="Table2"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68349124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8425B7-420F-41FF-9B49-F67F8D502480}" name="PivotTable4" cacheId="8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rowHeaderCaption="Marital Status">
  <location ref="J4:K11" firstHeaderRow="1" firstDataRow="1" firstDataCol="1" rowPageCount="2" colPageCount="1"/>
  <pivotFields count="6">
    <pivotField axis="axisPage" allDrilled="1" subtotalTop="0" showAll="0" dataSourceSort="1" defaultSubtotal="0" defaultAttributeDrillState="1"/>
    <pivotField name="States/Uts" axis="axisPage" allDrilled="1" subtotalTop="0" showAll="0" dataSourceSort="1" defaultSubtotal="0" defaultAttributeDrillState="1"/>
    <pivotField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allDrilled="1" subtotalTop="0" showAll="0" dataSourceSort="1" defaultSubtotal="0" defaultAttributeDrillState="1">
      <items count="8">
        <item s="1" x="0"/>
        <item s="1" x="1"/>
        <item s="1" x="2"/>
        <item s="1" x="3"/>
        <item s="1" x="4"/>
        <item s="1" x="5"/>
        <item s="1" x="6"/>
        <item s="1" x="7"/>
      </items>
    </pivotField>
    <pivotField axis="axisRow" allDrilled="1" subtotalTop="0" showAll="0" sortType="descending" defaultSubtotal="0" defaultAttributeDrillState="1">
      <items count="6">
        <item s="1" x="0"/>
        <item s="1" x="1"/>
        <item s="1" x="2"/>
        <item s="1" x="3"/>
        <item s="1" x="4"/>
        <item s="1" x="5"/>
      </items>
      <autoSortScope>
        <pivotArea dataOnly="0" outline="0" fieldPosition="0">
          <references count="1">
            <reference field="4294967294" count="1" selected="0">
              <x v="0"/>
            </reference>
          </references>
        </pivotArea>
      </autoSortScope>
    </pivotField>
  </pivotFields>
  <rowFields count="1">
    <field x="5"/>
  </rowFields>
  <rowItems count="7">
    <i>
      <x v="1"/>
    </i>
    <i>
      <x v="4"/>
    </i>
    <i>
      <x v="2"/>
    </i>
    <i>
      <x v="5"/>
    </i>
    <i>
      <x v="3"/>
    </i>
    <i>
      <x/>
    </i>
    <i t="grand">
      <x/>
    </i>
  </rowItems>
  <colItems count="1">
    <i/>
  </colItems>
  <pageFields count="2">
    <pageField fld="0" hier="1" name="[Table2].[Gender].[All]" cap="All"/>
    <pageField fld="1" hier="0" name="[Table2].[State].[All]" cap="All"/>
  </pageFields>
  <dataFields count="1">
    <dataField name="Sum of Total No." fld="3" baseField="0" baseItem="0"/>
  </dataFields>
  <chartFormats count="7">
    <chartFormat chart="10" format="22" series="1">
      <pivotArea type="data" outline="0" fieldPosition="0">
        <references count="1">
          <reference field="4294967294" count="1" selected="0">
            <x v="0"/>
          </reference>
        </references>
      </pivotArea>
    </chartFormat>
    <chartFormat chart="10" format="23">
      <pivotArea type="data" outline="0" fieldPosition="0">
        <references count="2">
          <reference field="4294967294" count="1" selected="0">
            <x v="0"/>
          </reference>
          <reference field="5" count="1" selected="0">
            <x v="1"/>
          </reference>
        </references>
      </pivotArea>
    </chartFormat>
    <chartFormat chart="10" format="24">
      <pivotArea type="data" outline="0" fieldPosition="0">
        <references count="2">
          <reference field="4294967294" count="1" selected="0">
            <x v="0"/>
          </reference>
          <reference field="5" count="1" selected="0">
            <x v="4"/>
          </reference>
        </references>
      </pivotArea>
    </chartFormat>
    <chartFormat chart="10" format="25">
      <pivotArea type="data" outline="0" fieldPosition="0">
        <references count="2">
          <reference field="4294967294" count="1" selected="0">
            <x v="0"/>
          </reference>
          <reference field="5" count="1" selected="0">
            <x v="2"/>
          </reference>
        </references>
      </pivotArea>
    </chartFormat>
    <chartFormat chart="10" format="26">
      <pivotArea type="data" outline="0" fieldPosition="0">
        <references count="2">
          <reference field="4294967294" count="1" selected="0">
            <x v="0"/>
          </reference>
          <reference field="5" count="1" selected="0">
            <x v="5"/>
          </reference>
        </references>
      </pivotArea>
    </chartFormat>
    <chartFormat chart="10" format="27">
      <pivotArea type="data" outline="0" fieldPosition="0">
        <references count="2">
          <reference field="4294967294" count="1" selected="0">
            <x v="0"/>
          </reference>
          <reference field="5" count="1" selected="0">
            <x v="3"/>
          </reference>
        </references>
      </pivotArea>
    </chartFormat>
    <chartFormat chart="10" format="28">
      <pivotArea type="data" outline="0" fieldPosition="0">
        <references count="2">
          <reference field="4294967294" count="1" selected="0">
            <x v="0"/>
          </reference>
          <reference field="5" count="1" selected="0">
            <x v="0"/>
          </reference>
        </references>
      </pivotArea>
    </chartFormat>
  </chartFormats>
  <pivotHierarchies count="1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FE06C6-6DC5-4EC6-877D-F4C62DFBAC64}" name="PivotTable2" cacheId="8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rowHeaderCaption="Causes">
  <location ref="D4:E25" firstHeaderRow="1" firstDataRow="1" firstDataCol="1" rowPageCount="2" colPageCount="1"/>
  <pivotFields count="5">
    <pivotField axis="axisPage" allDrilled="1" subtotalTop="0" showAll="0" dataSourceSort="1" defaultSubtotal="0" defaultAttributeDrillState="1"/>
    <pivotField name="States/Uts" axis="axisPage" allDrilled="1" subtotalTop="0" showAll="0" dataSourceSort="1" defaultSubtotal="0" defaultAttributeDrillState="1"/>
    <pivotField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axis="axisRow" allDrilled="1" subtotalTop="0" showAll="0" sortType="ascending" defaultSubtotal="0" defaultAttributeDrillState="1">
      <items count="20">
        <item s="1" x="0"/>
        <item s="1" x="1"/>
        <item s="1" x="2"/>
        <item s="1" x="3"/>
        <item s="1" x="4"/>
        <item s="1" x="5"/>
        <item s="1" x="6"/>
        <item s="1" x="7"/>
        <item s="1" x="8"/>
        <item s="1" x="9"/>
        <item s="1" x="10"/>
        <item s="1" x="11"/>
        <item s="1" x="12"/>
        <item s="1" x="13"/>
        <item s="1" x="14"/>
        <item s="1" x="15"/>
        <item s="1" x="16"/>
        <item s="1" x="17"/>
        <item s="1" x="18"/>
        <item s="1" x="19"/>
      </items>
      <autoSortScope>
        <pivotArea dataOnly="0" outline="0" fieldPosition="0">
          <references count="1">
            <reference field="4294967294" count="1" selected="0">
              <x v="0"/>
            </reference>
          </references>
        </pivotArea>
      </autoSortScope>
    </pivotField>
  </pivotFields>
  <rowFields count="1">
    <field x="4"/>
  </rowFields>
  <rowItems count="21">
    <i>
      <x v="9"/>
    </i>
    <i>
      <x v="15"/>
    </i>
    <i>
      <x v="8"/>
    </i>
    <i>
      <x v="11"/>
    </i>
    <i>
      <x v="1"/>
    </i>
    <i>
      <x v="6"/>
    </i>
    <i>
      <x v="4"/>
    </i>
    <i>
      <x v="16"/>
    </i>
    <i>
      <x v="2"/>
    </i>
    <i>
      <x v="18"/>
    </i>
    <i>
      <x/>
    </i>
    <i>
      <x v="5"/>
    </i>
    <i>
      <x v="19"/>
    </i>
    <i>
      <x v="13"/>
    </i>
    <i>
      <x v="12"/>
    </i>
    <i>
      <x v="17"/>
    </i>
    <i>
      <x v="3"/>
    </i>
    <i>
      <x v="10"/>
    </i>
    <i>
      <x v="14"/>
    </i>
    <i>
      <x v="7"/>
    </i>
    <i t="grand">
      <x/>
    </i>
  </rowItems>
  <colItems count="1">
    <i/>
  </colItems>
  <pageFields count="2">
    <pageField fld="0" hier="1" name="[Table2].[Gender].[All]" cap="All"/>
    <pageField fld="1" hier="0" name="[Table2].[State].[All]" cap="All"/>
  </pageFields>
  <dataFields count="1">
    <dataField name="Sum of Total No." fld="3" baseField="0" baseItem="0"/>
  </dataFields>
  <chartFormats count="1">
    <chartFormat chart="12" format="6" series="1">
      <pivotArea type="data" outline="0" fieldPosition="0">
        <references count="1">
          <reference field="4294967294" count="1" selected="0">
            <x v="0"/>
          </reference>
        </references>
      </pivotArea>
    </chartFormat>
  </chartFormats>
  <pivotHierarchies count="1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E6484BB-D029-41D2-8395-2291EE4501FB}" name="PivotTable1" cacheId="7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7" rowHeaderCaption="Mode or Methods">
  <location ref="A4:B13" firstHeaderRow="1" firstDataRow="1" firstDataCol="1" rowPageCount="2" colPageCount="1"/>
  <pivotFields count="4">
    <pivotField axis="axisPage" allDrilled="1" subtotalTop="0" showAll="0" dataSourceSort="1" defaultSubtotal="0" defaultAttributeDrillState="1"/>
    <pivotField name="States/Uts" axis="axisPage" allDrilled="1" subtotalTop="0" showAll="0" dataSourceSort="1" defaultSubtotal="0" defaultAttributeDrillState="1"/>
    <pivotField axis="axisRow" allDrilled="1"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2"/>
  </rowFields>
  <rowItems count="9">
    <i>
      <x v="2"/>
    </i>
    <i>
      <x v="4"/>
    </i>
    <i>
      <x v="1"/>
    </i>
    <i>
      <x v="3"/>
    </i>
    <i>
      <x/>
    </i>
    <i>
      <x v="5"/>
    </i>
    <i>
      <x v="7"/>
    </i>
    <i>
      <x v="6"/>
    </i>
    <i t="grand">
      <x/>
    </i>
  </rowItems>
  <colItems count="1">
    <i/>
  </colItems>
  <pageFields count="2">
    <pageField fld="0" hier="1" name="[Table2].[Gender].[All]" cap="All"/>
    <pageField fld="1" hier="0" name="[Table2].[State].[All]" cap="All"/>
  </pageFields>
  <dataFields count="1">
    <dataField name="Sum of Total No." fld="3" baseField="0" baseItem="0"/>
  </dataFields>
  <chartFormats count="9">
    <chartFormat chart="42" format="28" series="1">
      <pivotArea type="data" outline="0" fieldPosition="0">
        <references count="1">
          <reference field="4294967294" count="1" selected="0">
            <x v="0"/>
          </reference>
        </references>
      </pivotArea>
    </chartFormat>
    <chartFormat chart="42" format="29">
      <pivotArea type="data" outline="0" fieldPosition="0">
        <references count="2">
          <reference field="4294967294" count="1" selected="0">
            <x v="0"/>
          </reference>
          <reference field="2" count="1" selected="0">
            <x v="0"/>
          </reference>
        </references>
      </pivotArea>
    </chartFormat>
    <chartFormat chart="42" format="30">
      <pivotArea type="data" outline="0" fieldPosition="0">
        <references count="2">
          <reference field="4294967294" count="1" selected="0">
            <x v="0"/>
          </reference>
          <reference field="2" count="1" selected="0">
            <x v="1"/>
          </reference>
        </references>
      </pivotArea>
    </chartFormat>
    <chartFormat chart="42" format="31">
      <pivotArea type="data" outline="0" fieldPosition="0">
        <references count="2">
          <reference field="4294967294" count="1" selected="0">
            <x v="0"/>
          </reference>
          <reference field="2" count="1" selected="0">
            <x v="2"/>
          </reference>
        </references>
      </pivotArea>
    </chartFormat>
    <chartFormat chart="42" format="32">
      <pivotArea type="data" outline="0" fieldPosition="0">
        <references count="2">
          <reference field="4294967294" count="1" selected="0">
            <x v="0"/>
          </reference>
          <reference field="2" count="1" selected="0">
            <x v="3"/>
          </reference>
        </references>
      </pivotArea>
    </chartFormat>
    <chartFormat chart="42" format="33">
      <pivotArea type="data" outline="0" fieldPosition="0">
        <references count="2">
          <reference field="4294967294" count="1" selected="0">
            <x v="0"/>
          </reference>
          <reference field="2" count="1" selected="0">
            <x v="4"/>
          </reference>
        </references>
      </pivotArea>
    </chartFormat>
    <chartFormat chart="42" format="34">
      <pivotArea type="data" outline="0" fieldPosition="0">
        <references count="2">
          <reference field="4294967294" count="1" selected="0">
            <x v="0"/>
          </reference>
          <reference field="2" count="1" selected="0">
            <x v="5"/>
          </reference>
        </references>
      </pivotArea>
    </chartFormat>
    <chartFormat chart="42" format="35">
      <pivotArea type="data" outline="0" fieldPosition="0">
        <references count="2">
          <reference field="4294967294" count="1" selected="0">
            <x v="0"/>
          </reference>
          <reference field="2" count="1" selected="0">
            <x v="6"/>
          </reference>
        </references>
      </pivotArea>
    </chartFormat>
    <chartFormat chart="42" format="36">
      <pivotArea type="data" outline="0" fieldPosition="0">
        <references count="2">
          <reference field="4294967294" count="1" selected="0">
            <x v="0"/>
          </reference>
          <reference field="2" count="1" selected="0">
            <x v="7"/>
          </reference>
        </references>
      </pivotArea>
    </chartFormat>
  </chartFormats>
  <pivotHierarchies count="1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462F3D-102F-44EE-BF67-82C3178F4111}" name="PivotTable7" cacheId="9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6" rowHeaderCaption="Marital Status">
  <location ref="J17:K55" firstHeaderRow="1" firstDataRow="1" firstDataCol="1"/>
  <pivotFields count="6">
    <pivotField axis="axisRow" allDrilled="1" subtotalTop="0" showAll="0" sortType="descending" defaultSubtotal="0" defaultAttributeDrillState="1">
      <items count="37">
        <item n="Andaman and Nicobar"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allDrilled="1" subtotalTop="0" showAll="0" dataSourceSort="1" defaultSubtotal="0" defaultAttributeDrillState="1">
      <items count="8">
        <item s="1" x="0"/>
        <item s="1" x="1"/>
        <item s="1" x="2"/>
        <item s="1" x="3"/>
        <item s="1" x="4"/>
        <item s="1" x="5"/>
        <item s="1" x="6"/>
        <item s="1" x="7"/>
      </items>
    </pivotField>
    <pivotField allDrilled="1" subtotalTop="0" showAll="0" dataSourceSort="1" defaultSubtotal="0" defaultAttributeDrillState="1">
      <items count="6">
        <item s="1" x="0"/>
        <item s="1" x="1"/>
        <item s="1" x="2"/>
        <item s="1" x="3"/>
        <item s="1" x="4"/>
        <item s="1" x="5"/>
      </items>
    </pivotField>
    <pivotField allDrilled="1" subtotalTop="0" showAll="0" dataSourceSort="1" defaultSubtotal="0" defaultAttributeDrillState="1"/>
  </pivotFields>
  <rowFields count="1">
    <field x="0"/>
  </rowFields>
  <rowItems count="38">
    <i>
      <x v="21"/>
    </i>
    <i>
      <x v="31"/>
    </i>
    <i>
      <x v="20"/>
    </i>
    <i>
      <x v="16"/>
    </i>
    <i>
      <x v="36"/>
    </i>
    <i>
      <x v="17"/>
    </i>
    <i>
      <x v="32"/>
    </i>
    <i>
      <x v="11"/>
    </i>
    <i>
      <x v="1"/>
    </i>
    <i>
      <x v="6"/>
    </i>
    <i>
      <x v="34"/>
    </i>
    <i>
      <x v="26"/>
    </i>
    <i>
      <x v="29"/>
    </i>
    <i>
      <x v="12"/>
    </i>
    <i>
      <x v="9"/>
    </i>
    <i>
      <x v="3"/>
    </i>
    <i>
      <x v="28"/>
    </i>
    <i>
      <x v="15"/>
    </i>
    <i>
      <x v="35"/>
    </i>
    <i>
      <x v="33"/>
    </i>
    <i>
      <x v="4"/>
    </i>
    <i>
      <x v="13"/>
    </i>
    <i>
      <x v="27"/>
    </i>
    <i>
      <x v="14"/>
    </i>
    <i>
      <x v="10"/>
    </i>
    <i>
      <x v="30"/>
    </i>
    <i>
      <x v="23"/>
    </i>
    <i>
      <x/>
    </i>
    <i>
      <x v="24"/>
    </i>
    <i>
      <x v="2"/>
    </i>
    <i>
      <x v="5"/>
    </i>
    <i>
      <x v="7"/>
    </i>
    <i>
      <x v="8"/>
    </i>
    <i>
      <x v="25"/>
    </i>
    <i>
      <x v="22"/>
    </i>
    <i>
      <x v="18"/>
    </i>
    <i>
      <x v="19"/>
    </i>
    <i t="grand">
      <x/>
    </i>
  </rowItems>
  <colItems count="1">
    <i/>
  </colItems>
  <dataFields count="1">
    <dataField name="Sum of Total No." fld="2" baseField="0" baseItem="0"/>
  </dataFields>
  <chartFormats count="4">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3" format="6" series="1">
      <pivotArea type="data" outline="0" fieldPosition="0">
        <references count="1">
          <reference field="4294967294" count="1" selected="0">
            <x v="0"/>
          </reference>
        </references>
      </pivotArea>
    </chartFormat>
    <chartFormat chart="15" format="8" series="1">
      <pivotArea type="data" outline="0" fieldPosition="0">
        <references count="1">
          <reference field="4294967294" count="1" selected="0">
            <x v="0"/>
          </reference>
        </references>
      </pivotArea>
    </chartFormat>
  </chartFormats>
  <pivotHierarchies count="1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3ADD68-3662-4FB0-BA2A-CFB494630128}" name="PivotTable6" cacheId="9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7" rowHeaderCaption="Gender">
  <location ref="A22:B26" firstHeaderRow="1" firstDataRow="1" firstDataCol="1" rowPageCount="2" colPageCount="1"/>
  <pivotFields count="6">
    <pivotField axis="axisPage"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allDrilled="1" subtotalTop="0" showAll="0" dataSourceSort="1" defaultSubtotal="0" defaultAttributeDrillState="1">
      <items count="8">
        <item s="1" x="0"/>
        <item s="1" x="1"/>
        <item s="1" x="2"/>
        <item s="1" x="3"/>
        <item s="1" x="4"/>
        <item s="1" x="5"/>
        <item s="1" x="6"/>
        <item s="1" x="7"/>
      </items>
    </pivotField>
    <pivotField allDrilled="1" subtotalTop="0" showAll="0" dataSourceSort="1" defaultSubtotal="0" defaultAttributeDrillState="1">
      <items count="9">
        <item s="1" x="0"/>
        <item s="1" x="1"/>
        <item s="1" x="2"/>
        <item s="1" x="3"/>
        <item s="1" x="4"/>
        <item s="1" x="5"/>
        <item s="1" x="6"/>
        <item s="1" x="7"/>
        <item s="1" x="8"/>
      </items>
    </pivotField>
    <pivotField axis="axisRow" allDrilled="1" subtotalTop="0" showAll="0" sortType="ascending" dataSourceSort="1" defaultSubtotal="0" defaultAttributeDrillState="1">
      <items count="3">
        <item x="0"/>
        <item x="1"/>
        <item x="2"/>
      </items>
    </pivotField>
    <pivotField axis="axisPage" allDrilled="1" subtotalTop="0" showAll="0" dataSourceSort="1" defaultSubtotal="0" defaultAttributeDrillState="1"/>
  </pivotFields>
  <rowFields count="1">
    <field x="4"/>
  </rowFields>
  <rowItems count="4">
    <i>
      <x/>
    </i>
    <i>
      <x v="1"/>
    </i>
    <i>
      <x v="2"/>
    </i>
    <i t="grand">
      <x/>
    </i>
  </rowItems>
  <colItems count="1">
    <i/>
  </colItems>
  <pageFields count="2">
    <pageField fld="0" hier="2" name="[Table2].[Mode or Method].[All]" cap="All"/>
    <pageField fld="5" hier="3" name="[Table2].[Causes].[All]" cap="All"/>
  </pageFields>
  <dataFields count="1">
    <dataField name="Sum of Total No." fld="1" baseField="0" baseItem="0"/>
  </dataFields>
  <chartFormats count="16">
    <chartFormat chart="16" format="7" series="1">
      <pivotArea type="data" outline="0" fieldPosition="0">
        <references count="1">
          <reference field="4294967294" count="1" selected="0">
            <x v="0"/>
          </reference>
        </references>
      </pivotArea>
    </chartFormat>
    <chartFormat chart="16" format="8">
      <pivotArea type="data" outline="0" fieldPosition="0">
        <references count="2">
          <reference field="4294967294" count="1" selected="0">
            <x v="0"/>
          </reference>
          <reference field="4" count="1" selected="0">
            <x v="0"/>
          </reference>
        </references>
      </pivotArea>
    </chartFormat>
    <chartFormat chart="16" format="9">
      <pivotArea type="data" outline="0" fieldPosition="0">
        <references count="2">
          <reference field="4294967294" count="1" selected="0">
            <x v="0"/>
          </reference>
          <reference field="4" count="1" selected="0">
            <x v="1"/>
          </reference>
        </references>
      </pivotArea>
    </chartFormat>
    <chartFormat chart="16" format="10">
      <pivotArea type="data" outline="0" fieldPosition="0">
        <references count="2">
          <reference field="4294967294" count="1" selected="0">
            <x v="0"/>
          </reference>
          <reference field="4" count="1" selected="0">
            <x v="2"/>
          </reference>
        </references>
      </pivotArea>
    </chartFormat>
    <chartFormat chart="17" format="13" series="1">
      <pivotArea type="data" outline="0" fieldPosition="0">
        <references count="1">
          <reference field="4294967294" count="1" selected="0">
            <x v="0"/>
          </reference>
        </references>
      </pivotArea>
    </chartFormat>
    <chartFormat chart="17" format="14">
      <pivotArea type="data" outline="0" fieldPosition="0">
        <references count="2">
          <reference field="4294967294" count="1" selected="0">
            <x v="0"/>
          </reference>
          <reference field="4" count="1" selected="0">
            <x v="0"/>
          </reference>
        </references>
      </pivotArea>
    </chartFormat>
    <chartFormat chart="17" format="15">
      <pivotArea type="data" outline="0" fieldPosition="0">
        <references count="2">
          <reference field="4294967294" count="1" selected="0">
            <x v="0"/>
          </reference>
          <reference field="4" count="1" selected="0">
            <x v="1"/>
          </reference>
        </references>
      </pivotArea>
    </chartFormat>
    <chartFormat chart="17" format="16">
      <pivotArea type="data" outline="0" fieldPosition="0">
        <references count="2">
          <reference field="4294967294" count="1" selected="0">
            <x v="0"/>
          </reference>
          <reference field="4" count="1" selected="0">
            <x v="2"/>
          </reference>
        </references>
      </pivotArea>
    </chartFormat>
    <chartFormat chart="23" format="15" series="1">
      <pivotArea type="data" outline="0" fieldPosition="0">
        <references count="1">
          <reference field="4294967294" count="1" selected="0">
            <x v="0"/>
          </reference>
        </references>
      </pivotArea>
    </chartFormat>
    <chartFormat chart="23" format="16">
      <pivotArea type="data" outline="0" fieldPosition="0">
        <references count="2">
          <reference field="4294967294" count="1" selected="0">
            <x v="0"/>
          </reference>
          <reference field="4" count="1" selected="0">
            <x v="0"/>
          </reference>
        </references>
      </pivotArea>
    </chartFormat>
    <chartFormat chart="23" format="17">
      <pivotArea type="data" outline="0" fieldPosition="0">
        <references count="2">
          <reference field="4294967294" count="1" selected="0">
            <x v="0"/>
          </reference>
          <reference field="4" count="1" selected="0">
            <x v="1"/>
          </reference>
        </references>
      </pivotArea>
    </chartFormat>
    <chartFormat chart="23" format="18">
      <pivotArea type="data" outline="0" fieldPosition="0">
        <references count="2">
          <reference field="4294967294" count="1" selected="0">
            <x v="0"/>
          </reference>
          <reference field="4" count="1" selected="0">
            <x v="2"/>
          </reference>
        </references>
      </pivotArea>
    </chartFormat>
    <chartFormat chart="24" format="21" series="1">
      <pivotArea type="data" outline="0" fieldPosition="0">
        <references count="1">
          <reference field="4294967294" count="1" selected="0">
            <x v="0"/>
          </reference>
        </references>
      </pivotArea>
    </chartFormat>
    <chartFormat chart="24" format="22">
      <pivotArea type="data" outline="0" fieldPosition="0">
        <references count="2">
          <reference field="4294967294" count="1" selected="0">
            <x v="0"/>
          </reference>
          <reference field="4" count="1" selected="0">
            <x v="0"/>
          </reference>
        </references>
      </pivotArea>
    </chartFormat>
    <chartFormat chart="24" format="23">
      <pivotArea type="data" outline="0" fieldPosition="0">
        <references count="2">
          <reference field="4294967294" count="1" selected="0">
            <x v="0"/>
          </reference>
          <reference field="4" count="1" selected="0">
            <x v="1"/>
          </reference>
        </references>
      </pivotArea>
    </chartFormat>
    <chartFormat chart="24" format="24">
      <pivotArea type="data" outline="0" fieldPosition="0">
        <references count="2">
          <reference field="4294967294" count="1" selected="0">
            <x v="0"/>
          </reference>
          <reference field="4" count="1" selected="0">
            <x v="2"/>
          </reference>
        </references>
      </pivotArea>
    </chartFormat>
  </chartFormats>
  <pivotHierarchies count="1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80CE903-6035-4999-B325-5CF17886B444}" name="PivotTable5" cacheId="8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rowHeaderCaption="Professions">
  <location ref="G19:H29" firstHeaderRow="1" firstDataRow="1" firstDataCol="1" rowPageCount="2" colPageCount="1"/>
  <pivotFields count="6">
    <pivotField axis="axisPage" allDrilled="1" subtotalTop="0" showAll="0" dataSourceSort="1" defaultSubtotal="0" defaultAttributeDrillState="1"/>
    <pivotField name="States/Uts" axis="axisPage" allDrilled="1" subtotalTop="0" showAll="0" dataSourceSort="1" defaultSubtotal="0" defaultAttributeDrillState="1"/>
    <pivotField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allDrilled="1" subtotalTop="0" showAll="0" dataSourceSort="1" defaultSubtotal="0" defaultAttributeDrillState="1">
      <items count="8">
        <item s="1" x="0"/>
        <item s="1" x="1"/>
        <item s="1" x="2"/>
        <item s="1" x="3"/>
        <item s="1" x="4"/>
        <item s="1" x="5"/>
        <item s="1" x="6"/>
        <item s="1" x="7"/>
      </items>
    </pivotField>
    <pivotField axis="axisRow" allDrilled="1" subtotalTop="0" showAll="0" sortType="descending" defaultSubtotal="0" defaultAttributeDrillState="1">
      <items count="9">
        <item s="1" x="0"/>
        <item s="1" x="1"/>
        <item s="1" x="2"/>
        <item s="1" x="3"/>
        <item s="1" x="4"/>
        <item s="1" x="5"/>
        <item s="1" x="6"/>
        <item s="1" x="7"/>
        <item s="1" x="8"/>
      </items>
      <autoSortScope>
        <pivotArea dataOnly="0" outline="0" fieldPosition="0">
          <references count="1">
            <reference field="4294967294" count="1" selected="0">
              <x v="0"/>
            </reference>
          </references>
        </pivotArea>
      </autoSortScope>
    </pivotField>
  </pivotFields>
  <rowFields count="1">
    <field x="5"/>
  </rowFields>
  <rowItems count="10">
    <i>
      <x/>
    </i>
    <i>
      <x v="3"/>
    </i>
    <i>
      <x v="5"/>
    </i>
    <i>
      <x v="6"/>
    </i>
    <i>
      <x v="8"/>
    </i>
    <i>
      <x v="4"/>
    </i>
    <i>
      <x v="7"/>
    </i>
    <i>
      <x v="1"/>
    </i>
    <i>
      <x v="2"/>
    </i>
    <i t="grand">
      <x/>
    </i>
  </rowItems>
  <colItems count="1">
    <i/>
  </colItems>
  <pageFields count="2">
    <pageField fld="0" hier="1" name="[Table2].[Gender].[All]" cap="All"/>
    <pageField fld="1" hier="0" name="[Table2].[State].[All]" cap="All"/>
  </pageFields>
  <dataFields count="1">
    <dataField name="Sum of Total No." fld="3" baseField="0" baseItem="0"/>
  </dataFields>
  <chartFormats count="1">
    <chartFormat chart="6" format="4" series="1">
      <pivotArea type="data" outline="0" fieldPosition="0">
        <references count="1">
          <reference field="4294967294" count="1" selected="0">
            <x v="0"/>
          </reference>
        </references>
      </pivotArea>
    </chartFormat>
  </chartFormats>
  <pivotHierarchies count="1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40DE1D-F26E-4654-95D4-C85EE3FD3711}" name="PivotTable3" cacheId="7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rowHeaderCaption="Education Qualification">
  <location ref="G4:H13" firstHeaderRow="1" firstDataRow="1" firstDataCol="1" rowPageCount="2" colPageCount="1"/>
  <pivotFields count="5">
    <pivotField axis="axisPage" allDrilled="1" subtotalTop="0" showAll="0" dataSourceSort="1" defaultSubtotal="0" defaultAttributeDrillState="1"/>
    <pivotField name="States/Uts" axis="axisPage" allDrilled="1" subtotalTop="0" showAll="0" dataSourceSort="1" defaultSubtotal="0" defaultAttributeDrillState="1"/>
    <pivotField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axis="axisRow" allDrilled="1"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s>
  <rowFields count="1">
    <field x="4"/>
  </rowFields>
  <rowItems count="9">
    <i>
      <x v="7"/>
    </i>
    <i>
      <x v="3"/>
    </i>
    <i>
      <x v="2"/>
    </i>
    <i>
      <x v="4"/>
    </i>
    <i>
      <x v="6"/>
    </i>
    <i>
      <x v="1"/>
    </i>
    <i>
      <x/>
    </i>
    <i>
      <x v="5"/>
    </i>
    <i t="grand">
      <x/>
    </i>
  </rowItems>
  <colItems count="1">
    <i/>
  </colItems>
  <pageFields count="2">
    <pageField fld="0" hier="1" name="[Table2].[Gender].[All]" cap="All"/>
    <pageField fld="1" hier="0" name="[Table2].[State].[All]" cap="All"/>
  </pageFields>
  <dataFields count="1">
    <dataField name="Sum of Total No." fld="3" baseField="0" baseItem="0"/>
  </dataFields>
  <chartFormats count="1">
    <chartFormat chart="6" format="4" series="1">
      <pivotArea type="data" outline="0" fieldPosition="0">
        <references count="1">
          <reference field="4294967294" count="1" selected="0">
            <x v="0"/>
          </reference>
        </references>
      </pivotArea>
    </chartFormat>
  </chartFormats>
  <pivotHierarchies count="1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sh.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BAD31F7-8045-4E4F-A3D0-3B9E859AB589}" autoFormatId="16" applyNumberFormats="0" applyBorderFormats="0" applyFontFormats="0" applyPatternFormats="0" applyAlignmentFormats="0" applyWidthHeightFormats="0">
  <queryTableRefresh nextId="9">
    <queryTableFields count="4">
      <queryTableField id="1" name="State or Union Territory" tableColumnId="1"/>
      <queryTableField id="2" name="Attribute" tableColumnId="2"/>
      <queryTableField id="8" dataBound="0" tableColumnId="5"/>
      <queryTableField id="3" name="Valu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CE9A7FE7-91F3-46F8-B53F-6289ADFD24B6}" sourceName="[Table2].[Gender]">
  <pivotTables>
    <pivotTable tabId="22" name="PivotTable3"/>
    <pivotTable tabId="22" name="PivotTable1"/>
    <pivotTable tabId="22" name="PivotTable2"/>
    <pivotTable tabId="22" name="PivotTable4"/>
    <pivotTable tabId="22" name="PivotTable5"/>
    <pivotTable tabId="22" name="PivotTable7"/>
    <pivotTable tabId="22" name="PivotTable6"/>
  </pivotTables>
  <data>
    <olap pivotCacheId="1683491244">
      <levels count="2">
        <level uniqueName="[Table2].[Gender].[(All)]" sourceCaption="(All)" count="0"/>
        <level uniqueName="[Table2].[Gender].[Gender]" sourceCaption="Gender" count="3">
          <ranges>
            <range startItem="0">
              <i n="[Table2].[Gender].&amp;[Female]" c="Female"/>
              <i n="[Table2].[Gender].&amp;[Male]" c="Male"/>
              <i n="[Table2].[Gender].&amp;[Transgender]" c="Transgender"/>
            </range>
          </ranges>
        </level>
      </levels>
      <selections count="1">
        <selection n="[Table2].[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487EDE6C-29B2-4553-8787-9A1CFFD83894}" sourceName="[Table2].[State]">
  <pivotTables>
    <pivotTable tabId="22" name="PivotTable3"/>
    <pivotTable tabId="22" name="PivotTable1"/>
    <pivotTable tabId="22" name="PivotTable2"/>
    <pivotTable tabId="22" name="PivotTable4"/>
    <pivotTable tabId="22" name="PivotTable5"/>
    <pivotTable tabId="22" name="PivotTable7"/>
    <pivotTable tabId="22" name="PivotTable6"/>
  </pivotTables>
  <data>
    <olap pivotCacheId="1683491244">
      <levels count="2">
        <level uniqueName="[Table2].[State].[(All)]" sourceCaption="(All)" count="0"/>
        <level uniqueName="[Table2].[State].[State]" sourceCaption="State" count="37">
          <ranges>
            <range startItem="0">
              <i n="[Table2].[State].&amp;[Andaman and Nicobar Islands]" c="Andaman and Nicobar Islands"/>
              <i n="[Table2].[State].&amp;[Andhra Pradesh]" c="Andhra Pradesh"/>
              <i n="[Table2].[State].&amp;[Arunachal Pradesh]" c="Arunachal Pradesh"/>
              <i n="[Table2].[State].&amp;[Assam]" c="Assam"/>
              <i n="[Table2].[State].&amp;[Bihar]" c="Bihar"/>
              <i n="[Table2].[State].&amp;[Chandigarh]" c="Chandigarh"/>
              <i n="[Table2].[State].&amp;[Chhattisgarh]" c="Chhattisgarh"/>
              <i n="[Table2].[State].&amp;[Dadra and Nagar Haveli]" c="Dadra and Nagar Haveli"/>
              <i n="[Table2].[State].&amp;[Daman and Diu]" c="Daman and Diu"/>
              <i n="[Table2].[State].&amp;[Delhi]" c="Delhi"/>
              <i n="[Table2].[State].&amp;[Goa]" c="Goa"/>
              <i n="[Table2].[State].&amp;[Gujarat]" c="Gujarat"/>
              <i n="[Table2].[State].&amp;[Haryana]" c="Haryana"/>
              <i n="[Table2].[State].&amp;[Himachal Pradesh]" c="Himachal Pradesh"/>
              <i n="[Table2].[State].&amp;[Jammu and Kashmir]" c="Jammu and Kashmir"/>
              <i n="[Table2].[State].&amp;[Jharkhand]" c="Jharkhand"/>
              <i n="[Table2].[State].&amp;[Karnataka]" c="Karnataka"/>
              <i n="[Table2].[State].&amp;[Kerala]" c="Kerala"/>
              <i n="[Table2].[State].&amp;[Ladakh]" c="Ladakh"/>
              <i n="[Table2].[State].&amp;[Lakshadweep]" c="Lakshadweep"/>
              <i n="[Table2].[State].&amp;[Madhya Pradesh]" c="Madhya Pradesh"/>
              <i n="[Table2].[State].&amp;[Maharashtra]" c="Maharashtra"/>
              <i n="[Table2].[State].&amp;[Manipur]" c="Manipur"/>
              <i n="[Table2].[State].&amp;[Meghalaya]" c="Meghalaya"/>
              <i n="[Table2].[State].&amp;[Mizoram]" c="Mizoram"/>
              <i n="[Table2].[State].&amp;[Nagaland]" c="Nagaland"/>
              <i n="[Table2].[State].&amp;[Odisha]" c="Odisha"/>
              <i n="[Table2].[State].&amp;[Puducherry]" c="Puducherry"/>
              <i n="[Table2].[State].&amp;[Punjab]" c="Punjab"/>
              <i n="[Table2].[State].&amp;[Rajasthan]" c="Rajasthan"/>
              <i n="[Table2].[State].&amp;[Sikkim]" c="Sikkim"/>
              <i n="[Table2].[State].&amp;[Tamil Nadu]" c="Tamil Nadu"/>
              <i n="[Table2].[State].&amp;[Telangana]" c="Telangana"/>
              <i n="[Table2].[State].&amp;[Tripura]" c="Tripura"/>
              <i n="[Table2].[State].&amp;[Uttar Pradesh]" c="Uttar Pradesh"/>
              <i n="[Table2].[State].&amp;[Uttarakhand]" c="Uttarakhand"/>
              <i n="[Table2].[State].&amp;[West Bengal]" c="West Bengal"/>
            </range>
          </ranges>
        </level>
      </levels>
      <selections count="1">
        <selection n="[Table2].[Stat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_or_Union_Territory" xr10:uid="{8B4E6E85-BF79-4F8F-A214-F22AA37DD28B}" sourceName="State or Union Territory">
  <extLst>
    <x:ext xmlns:x15="http://schemas.microsoft.com/office/spreadsheetml/2010/11/main" uri="{2F2917AC-EB37-4324-AD4E-5DD8C200BD13}">
      <x15:tableSlicerCache tableId="1" column="1" crossFilter="show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939DB32-BA04-4B31-96A5-682A6E2E0B93}" sourceName="Years">
  <extLst>
    <x:ext xmlns:x15="http://schemas.microsoft.com/office/spreadsheetml/2010/11/main" uri="{2F2917AC-EB37-4324-AD4E-5DD8C200BD13}">
      <x15:tableSlicerCache tableId="1" column="2" sortOrder="descending" customListSort="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wth_Rate" xr10:uid="{5C1E0E85-547B-4528-8FCD-C91E63B26362}" sourceName="Growth Rate">
  <extLst>
    <x:ext xmlns:x15="http://schemas.microsoft.com/office/spreadsheetml/2010/11/main" uri="{2F2917AC-EB37-4324-AD4E-5DD8C200BD13}">
      <x15:tableSlicerCache tableId="3"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_of_Suicide" xr10:uid="{E3C35A05-BBDA-4AD2-BEDD-8583174A8F90}" sourceName="No. of Suicide">
  <extLst>
    <x:ext xmlns:x15="http://schemas.microsoft.com/office/spreadsheetml/2010/11/main" uri="{2F2917AC-EB37-4324-AD4E-5DD8C200BD13}">
      <x15:tableSlicerCache tableId="1" column="5"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or Union Territory 3" xr10:uid="{F9EB6D69-5290-4D62-AA43-7EC03E6EBC1A}" cache="Slicer_State_or_Union_Territory" caption="States or UTs" columnCount="3" style="SlicerStyleDark3" rowHeight="396000"/>
  <slicer name="Years 2" xr10:uid="{5AD57F21-7EDB-4F61-9784-29D2C1635818}" cache="Slicer_Years" caption="Years" columnCount="5" style="SlicerStyleDark3" rowHeight="684000"/>
  <slicer name="Growth Rate 3" xr10:uid="{06592830-E3CF-4E7A-B238-C989489169A6}" cache="Slicer_Growth_Rate" caption="Growth Rate" showCaption="0" style="Slicer Style 1" rowHeight="612000"/>
  <slicer name="No. of Suicide 3" xr10:uid="{7051555D-54C6-453C-9FB5-1D98EF468F29}" cache="Slicer_No._of_Suicide" caption="No. of Suicide" showCaption="0" style="Slicer Style 1" rowHeight="648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3" xr10:uid="{A6D2C5BD-F021-4D3A-A475-6DFC7A82C3B1}" cache="Slicer_Gender" caption="Gender" columnCount="3" level="1" style="SlicerStyleDark3" rowHeight="612000"/>
  <slicer name="State 3" xr10:uid="{F88878BD-883F-4EBB-8350-60CE523DF870}" cache="Slicer_State" caption="States or UTs" columnCount="3" level="1" style="SlicerStyleDark3" rowHeight="39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4" xr10:uid="{E077013F-B049-4079-B70F-9060203AE40D}" cache="Slicer_Gender" caption="Gender" columnCount="3" level="1" style="SlicerStyleDark3" rowHeight="612000"/>
  <slicer name="State 4" xr10:uid="{30DE2FB6-3BA6-4582-B0EC-62DD5507F3B2}" cache="Slicer_State" caption="States or UTs" columnCount="3" level="1" style="SlicerStyleDark3" rowHeight="3960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F072C8-875B-468A-9F6A-AB8CF7E49F1C}" name="Table2" displayName="Table2" ref="A1:H2751" totalsRowShown="0" headerRowDxfId="17">
  <autoFilter ref="A1:H2751" xr:uid="{9DF072C8-875B-468A-9F6A-AB8CF7E49F1C}"/>
  <tableColumns count="8">
    <tableColumn id="1" xr3:uid="{2B5D472D-C69F-469D-B017-D61A08518F24}" name="States/UTs" dataDxfId="16"/>
    <tableColumn id="2" xr3:uid="{0D6E983E-3CA3-4162-A8F4-9AB1B7349BF8}" name="Gender" dataDxfId="15"/>
    <tableColumn id="3" xr3:uid="{8A1FE4B6-2C46-4471-BBAC-05DE1E6CFAED}" name="Mode or Method"/>
    <tableColumn id="4" xr3:uid="{35B7E50C-CCB9-4583-845D-73B5E51DAD3A}" name="Causes"/>
    <tableColumn id="5" xr3:uid="{721CEB40-19E1-4308-B935-03CAE773C214}" name="Education Qualification"/>
    <tableColumn id="6" xr3:uid="{B56C8008-04C6-4600-ABC0-913C34CA0D8C}" name="Status"/>
    <tableColumn id="7" xr3:uid="{1CEEE388-6E61-43DD-94E8-A93D3C9569B5}" name="Profession"/>
    <tableColumn id="8" xr3:uid="{4DBC5A3E-F978-4763-BA43-DA0F93D717EB}" name="Total No."/>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13E976-796B-49A8-849D-D8F388A371E3}" name="State_UT" displayName="State_UT" ref="A1:D191" tableType="queryTable" totalsRowShown="0">
  <autoFilter ref="A1:D191" xr:uid="{B513E976-796B-49A8-849D-D8F388A371E3}">
    <filterColumn colId="0">
      <filters>
        <filter val="India"/>
      </filters>
    </filterColumn>
  </autoFilter>
  <sortState xmlns:xlrd2="http://schemas.microsoft.com/office/spreadsheetml/2017/richdata2" ref="A2:D191">
    <sortCondition ref="A2:A191"/>
  </sortState>
  <tableColumns count="4">
    <tableColumn id="1" xr3:uid="{67C808DF-7339-4D58-8A1B-29E60CD267DD}" uniqueName="1" name="State or Union Territory" queryTableFieldId="1" dataDxfId="14"/>
    <tableColumn id="2" xr3:uid="{DDA07890-CB44-47AE-85B1-B65C83B904E2}" uniqueName="2" name="Years" queryTableFieldId="2" dataDxfId="13"/>
    <tableColumn id="5" xr3:uid="{41A5FB35-63F9-482C-9CCC-5CA0AE8B5B4A}" uniqueName="5" name="No. of Suicide" queryTableFieldId="8"/>
    <tableColumn id="3" xr3:uid="{BF221B0D-21DA-4E3E-BC3B-116F035AB35C}" uniqueName="3" name="Rate of Suicide" queryTableFieldId="3" dataDxfId="1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F91225-8DC7-4517-B1C7-BA709766A6F8}" name="Table4" displayName="Table4" ref="E1:F191" totalsRowShown="0" headerRowDxfId="11">
  <autoFilter ref="E1:F191" xr:uid="{34F91225-8DC7-4517-B1C7-BA709766A6F8}"/>
  <tableColumns count="2">
    <tableColumn id="1" xr3:uid="{DC75C950-2A30-4A32-AAE7-10A7FD085B15}" name="Growth Rate" dataDxfId="10" dataCellStyle="Percent"/>
    <tableColumn id="2" xr3:uid="{4DF87BB8-03BC-4357-8737-A1088F61BFAE}" name="Total" dataDxfId="9" dataCellStyle="Perc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1A1BD9-E2CD-41CC-86EF-FEAD5852657E}" name="Table3545689" displayName="Table3545689" ref="L24:Q29" headerRowCount="0" totalsRowShown="0" headerRowDxfId="8" dataDxfId="7">
  <tableColumns count="6">
    <tableColumn id="6" xr3:uid="{962AE3E4-7C00-40F7-92E1-123FC89C0B58}" name="Column6" headerRowDxfId="6" dataDxfId="5"/>
    <tableColumn id="1" xr3:uid="{7A26C3DB-FF87-4115-846D-D082C55A19CC}" name="Column1" dataDxfId="4"/>
    <tableColumn id="2" xr3:uid="{67338757-DA88-4DA2-BC7D-02DB378DC4C9}" name="Column2" dataDxfId="3"/>
    <tableColumn id="3" xr3:uid="{85B0CB98-3042-4C62-B82F-B116BC6303EC}" name="Column3" dataDxfId="2"/>
    <tableColumn id="4" xr3:uid="{D60E037F-0AE7-48C6-BC65-60FBFF960259}" name="Column4" dataDxfId="1"/>
    <tableColumn id="5" xr3:uid="{6D165784-7F44-4B2C-B036-27A88CBAB049}" name="Column5" dataDxfId="0"/>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D8848-17E2-4CB4-BC31-B5CA46D90F74}">
  <sheetPr codeName="Sheet3"/>
  <dimension ref="A1:H2751"/>
  <sheetViews>
    <sheetView zoomScale="85" zoomScaleNormal="85" workbookViewId="0">
      <selection activeCell="C15" sqref="C15"/>
    </sheetView>
  </sheetViews>
  <sheetFormatPr defaultRowHeight="14.4" x14ac:dyDescent="0.3"/>
  <cols>
    <col min="1" max="1" width="28" customWidth="1"/>
    <col min="2" max="2" width="17.77734375" customWidth="1"/>
    <col min="3" max="3" width="33.6640625" customWidth="1"/>
    <col min="4" max="4" width="35.6640625" customWidth="1"/>
    <col min="5" max="5" width="36.109375" customWidth="1"/>
    <col min="6" max="6" width="32.77734375" customWidth="1"/>
    <col min="7" max="7" width="29.6640625" customWidth="1"/>
    <col min="8" max="8" width="16.88671875" customWidth="1"/>
  </cols>
  <sheetData>
    <row r="1" spans="1:8" s="6" customFormat="1" ht="21" x14ac:dyDescent="0.4">
      <c r="A1" s="6" t="s">
        <v>116</v>
      </c>
      <c r="B1" s="6" t="s">
        <v>0</v>
      </c>
      <c r="C1" s="7" t="s">
        <v>86</v>
      </c>
      <c r="D1" s="7" t="s">
        <v>1</v>
      </c>
      <c r="E1" s="6" t="s">
        <v>87</v>
      </c>
      <c r="F1" s="6" t="s">
        <v>63</v>
      </c>
      <c r="G1" s="6" t="s">
        <v>67</v>
      </c>
      <c r="H1" s="6" t="s">
        <v>57</v>
      </c>
    </row>
    <row r="2" spans="1:8" s="5" customFormat="1" ht="15.6" x14ac:dyDescent="0.3">
      <c r="A2" t="s">
        <v>22</v>
      </c>
      <c r="B2" s="2" t="s">
        <v>2</v>
      </c>
      <c r="C2" s="4" t="s">
        <v>13</v>
      </c>
      <c r="D2" s="4"/>
      <c r="H2" s="3">
        <v>299</v>
      </c>
    </row>
    <row r="3" spans="1:8" s="5" customFormat="1" ht="15.6" x14ac:dyDescent="0.3">
      <c r="A3" t="s">
        <v>22</v>
      </c>
      <c r="B3" s="2" t="s">
        <v>4</v>
      </c>
      <c r="C3" s="4" t="s">
        <v>13</v>
      </c>
      <c r="D3" s="4"/>
      <c r="H3" s="3">
        <v>140</v>
      </c>
    </row>
    <row r="4" spans="1:8" s="5" customFormat="1" ht="15.6" x14ac:dyDescent="0.3">
      <c r="A4" t="s">
        <v>22</v>
      </c>
      <c r="B4" s="2" t="s">
        <v>2</v>
      </c>
      <c r="C4" s="4" t="s">
        <v>104</v>
      </c>
      <c r="D4" s="4"/>
      <c r="H4" s="3">
        <f>66+27</f>
        <v>93</v>
      </c>
    </row>
    <row r="5" spans="1:8" s="5" customFormat="1" ht="15.6" x14ac:dyDescent="0.3">
      <c r="A5" t="s">
        <v>22</v>
      </c>
      <c r="B5" s="2" t="s">
        <v>4</v>
      </c>
      <c r="C5" s="4" t="s">
        <v>104</v>
      </c>
      <c r="D5" s="4"/>
      <c r="H5" s="3">
        <v>40</v>
      </c>
    </row>
    <row r="6" spans="1:8" s="5" customFormat="1" ht="15.6" x14ac:dyDescent="0.3">
      <c r="A6" t="s">
        <v>22</v>
      </c>
      <c r="B6" s="2" t="s">
        <v>2</v>
      </c>
      <c r="C6" s="4" t="s">
        <v>7</v>
      </c>
      <c r="D6" s="4"/>
      <c r="H6" s="3">
        <v>3228</v>
      </c>
    </row>
    <row r="7" spans="1:8" s="5" customFormat="1" ht="15.6" x14ac:dyDescent="0.3">
      <c r="A7" t="s">
        <v>22</v>
      </c>
      <c r="B7" s="2" t="s">
        <v>4</v>
      </c>
      <c r="C7" s="4" t="s">
        <v>7</v>
      </c>
      <c r="D7" s="4"/>
      <c r="H7" s="3">
        <v>1270</v>
      </c>
    </row>
    <row r="8" spans="1:8" s="5" customFormat="1" ht="15.6" x14ac:dyDescent="0.3">
      <c r="A8" t="s">
        <v>22</v>
      </c>
      <c r="B8" s="2" t="s">
        <v>56</v>
      </c>
      <c r="C8" s="4" t="s">
        <v>7</v>
      </c>
      <c r="D8" s="4"/>
      <c r="H8" s="3">
        <v>1</v>
      </c>
    </row>
    <row r="9" spans="1:8" s="5" customFormat="1" ht="15.6" x14ac:dyDescent="0.3">
      <c r="A9" t="s">
        <v>22</v>
      </c>
      <c r="B9" s="2" t="s">
        <v>2</v>
      </c>
      <c r="C9" s="4" t="s">
        <v>103</v>
      </c>
      <c r="D9" s="4"/>
      <c r="H9" s="3">
        <f>2092+20</f>
        <v>2112</v>
      </c>
    </row>
    <row r="10" spans="1:8" s="5" customFormat="1" ht="15.6" x14ac:dyDescent="0.3">
      <c r="A10" t="s">
        <v>22</v>
      </c>
      <c r="B10" s="2" t="s">
        <v>4</v>
      </c>
      <c r="C10" s="4" t="s">
        <v>103</v>
      </c>
      <c r="D10" s="4"/>
      <c r="H10" s="3">
        <f>529+13</f>
        <v>542</v>
      </c>
    </row>
    <row r="11" spans="1:8" s="5" customFormat="1" ht="15.6" x14ac:dyDescent="0.3">
      <c r="A11" t="s">
        <v>22</v>
      </c>
      <c r="B11" s="2" t="s">
        <v>56</v>
      </c>
      <c r="C11" s="4" t="s">
        <v>103</v>
      </c>
      <c r="D11" s="4"/>
      <c r="H11" s="3">
        <v>1</v>
      </c>
    </row>
    <row r="12" spans="1:8" s="5" customFormat="1" ht="15.6" x14ac:dyDescent="0.3">
      <c r="A12" t="s">
        <v>22</v>
      </c>
      <c r="B12" s="2" t="s">
        <v>2</v>
      </c>
      <c r="C12" s="4" t="s">
        <v>79</v>
      </c>
      <c r="D12" s="4"/>
      <c r="H12" s="3">
        <v>93</v>
      </c>
    </row>
    <row r="13" spans="1:8" s="5" customFormat="1" ht="15.6" x14ac:dyDescent="0.3">
      <c r="A13" t="s">
        <v>22</v>
      </c>
      <c r="B13" s="2" t="s">
        <v>4</v>
      </c>
      <c r="C13" s="4" t="s">
        <v>79</v>
      </c>
      <c r="D13" s="4"/>
      <c r="H13" s="3">
        <v>10</v>
      </c>
    </row>
    <row r="14" spans="1:8" s="5" customFormat="1" ht="15.6" x14ac:dyDescent="0.3">
      <c r="A14" t="s">
        <v>22</v>
      </c>
      <c r="B14" s="2" t="s">
        <v>2</v>
      </c>
      <c r="C14" s="4" t="s">
        <v>105</v>
      </c>
      <c r="D14" s="4"/>
      <c r="H14" s="3">
        <v>726</v>
      </c>
    </row>
    <row r="15" spans="1:8" s="5" customFormat="1" ht="15.6" x14ac:dyDescent="0.3">
      <c r="A15" t="s">
        <v>22</v>
      </c>
      <c r="B15" s="2" t="s">
        <v>4</v>
      </c>
      <c r="C15" s="4" t="s">
        <v>105</v>
      </c>
      <c r="D15" s="4"/>
      <c r="H15" s="3">
        <v>76</v>
      </c>
    </row>
    <row r="16" spans="1:8" s="5" customFormat="1" ht="15.6" x14ac:dyDescent="0.3">
      <c r="A16" t="s">
        <v>22</v>
      </c>
      <c r="B16" s="2" t="s">
        <v>2</v>
      </c>
      <c r="C16" s="4" t="s">
        <v>58</v>
      </c>
      <c r="D16" s="4"/>
      <c r="H16" s="3">
        <v>15</v>
      </c>
    </row>
    <row r="17" spans="1:8" s="5" customFormat="1" ht="15.6" x14ac:dyDescent="0.3">
      <c r="A17" t="s">
        <v>22</v>
      </c>
      <c r="B17" s="2" t="s">
        <v>4</v>
      </c>
      <c r="C17" s="4" t="s">
        <v>58</v>
      </c>
      <c r="D17" s="4"/>
      <c r="H17" s="3">
        <v>1</v>
      </c>
    </row>
    <row r="18" spans="1:8" s="5" customFormat="1" ht="15.6" x14ac:dyDescent="0.3">
      <c r="A18" t="s">
        <v>22</v>
      </c>
      <c r="B18" s="2" t="s">
        <v>2</v>
      </c>
      <c r="C18" s="4" t="s">
        <v>59</v>
      </c>
      <c r="D18" s="4"/>
      <c r="H18" s="3">
        <v>199</v>
      </c>
    </row>
    <row r="19" spans="1:8" s="5" customFormat="1" ht="15.6" x14ac:dyDescent="0.3">
      <c r="A19" t="s">
        <v>22</v>
      </c>
      <c r="B19" s="2" t="s">
        <v>4</v>
      </c>
      <c r="C19" s="4" t="s">
        <v>59</v>
      </c>
      <c r="D19" s="4"/>
      <c r="H19" s="3">
        <v>62</v>
      </c>
    </row>
    <row r="20" spans="1:8" x14ac:dyDescent="0.3">
      <c r="A20" t="s">
        <v>22</v>
      </c>
      <c r="B20" s="2" t="s">
        <v>2</v>
      </c>
      <c r="C20" s="2"/>
      <c r="D20" t="s">
        <v>81</v>
      </c>
      <c r="H20">
        <v>132</v>
      </c>
    </row>
    <row r="21" spans="1:8" x14ac:dyDescent="0.3">
      <c r="A21" t="s">
        <v>22</v>
      </c>
      <c r="B21" s="2" t="s">
        <v>4</v>
      </c>
      <c r="C21" s="2"/>
      <c r="D21" t="s">
        <v>81</v>
      </c>
      <c r="H21">
        <v>55</v>
      </c>
    </row>
    <row r="22" spans="1:8" x14ac:dyDescent="0.3">
      <c r="A22" t="s">
        <v>22</v>
      </c>
      <c r="B22" s="2" t="s">
        <v>4</v>
      </c>
      <c r="C22" s="2"/>
      <c r="D22" t="s">
        <v>73</v>
      </c>
      <c r="H22">
        <v>22</v>
      </c>
    </row>
    <row r="23" spans="1:8" x14ac:dyDescent="0.3">
      <c r="A23" t="s">
        <v>22</v>
      </c>
      <c r="B23" s="2" t="s">
        <v>2</v>
      </c>
      <c r="C23" s="2"/>
      <c r="D23" t="s">
        <v>74</v>
      </c>
      <c r="H23">
        <v>30</v>
      </c>
    </row>
    <row r="24" spans="1:8" x14ac:dyDescent="0.3">
      <c r="A24" t="s">
        <v>22</v>
      </c>
      <c r="B24" s="2" t="s">
        <v>4</v>
      </c>
      <c r="C24" s="2"/>
      <c r="D24" t="s">
        <v>74</v>
      </c>
      <c r="H24">
        <v>23</v>
      </c>
    </row>
    <row r="25" spans="1:8" x14ac:dyDescent="0.3">
      <c r="A25" t="s">
        <v>22</v>
      </c>
      <c r="B25" s="2" t="s">
        <v>2</v>
      </c>
      <c r="C25" s="2"/>
      <c r="D25" t="s">
        <v>3</v>
      </c>
      <c r="H25">
        <v>16</v>
      </c>
    </row>
    <row r="26" spans="1:8" x14ac:dyDescent="0.3">
      <c r="A26" t="s">
        <v>22</v>
      </c>
      <c r="B26" s="2" t="s">
        <v>4</v>
      </c>
      <c r="C26" s="2"/>
      <c r="D26" t="s">
        <v>3</v>
      </c>
      <c r="H26">
        <v>1</v>
      </c>
    </row>
    <row r="27" spans="1:8" x14ac:dyDescent="0.3">
      <c r="A27" t="s">
        <v>22</v>
      </c>
      <c r="B27" s="2" t="s">
        <v>56</v>
      </c>
      <c r="C27" s="2"/>
      <c r="D27" t="s">
        <v>81</v>
      </c>
      <c r="H27">
        <v>1</v>
      </c>
    </row>
    <row r="28" spans="1:8" x14ac:dyDescent="0.3">
      <c r="A28" t="s">
        <v>22</v>
      </c>
      <c r="B28" s="2" t="s">
        <v>2</v>
      </c>
      <c r="C28" s="2"/>
      <c r="D28" t="s">
        <v>9</v>
      </c>
      <c r="H28">
        <v>78</v>
      </c>
    </row>
    <row r="29" spans="1:8" x14ac:dyDescent="0.3">
      <c r="A29" t="s">
        <v>22</v>
      </c>
      <c r="B29" s="2" t="s">
        <v>4</v>
      </c>
      <c r="C29" s="2"/>
      <c r="D29" t="s">
        <v>9</v>
      </c>
      <c r="H29">
        <v>43</v>
      </c>
    </row>
    <row r="30" spans="1:8" x14ac:dyDescent="0.3">
      <c r="A30" t="s">
        <v>22</v>
      </c>
      <c r="B30" s="2" t="s">
        <v>2</v>
      </c>
      <c r="C30" s="2"/>
      <c r="D30" t="s">
        <v>75</v>
      </c>
      <c r="H30">
        <v>18</v>
      </c>
    </row>
    <row r="31" spans="1:8" x14ac:dyDescent="0.3">
      <c r="A31" t="s">
        <v>22</v>
      </c>
      <c r="B31" s="2" t="s">
        <v>4</v>
      </c>
      <c r="C31" s="2"/>
      <c r="D31" t="s">
        <v>75</v>
      </c>
      <c r="H31">
        <v>13</v>
      </c>
    </row>
    <row r="32" spans="1:8" x14ac:dyDescent="0.3">
      <c r="A32" t="s">
        <v>22</v>
      </c>
      <c r="B32" s="2" t="s">
        <v>2</v>
      </c>
      <c r="C32" s="2"/>
      <c r="D32" t="s">
        <v>11</v>
      </c>
      <c r="H32">
        <v>1769</v>
      </c>
    </row>
    <row r="33" spans="1:8" x14ac:dyDescent="0.3">
      <c r="A33" t="s">
        <v>22</v>
      </c>
      <c r="B33" s="2" t="s">
        <v>4</v>
      </c>
      <c r="C33" s="2"/>
      <c r="D33" t="s">
        <v>11</v>
      </c>
      <c r="H33">
        <v>651</v>
      </c>
    </row>
    <row r="34" spans="1:8" x14ac:dyDescent="0.3">
      <c r="A34" t="s">
        <v>22</v>
      </c>
      <c r="B34" s="2" t="s">
        <v>2</v>
      </c>
      <c r="C34" s="2"/>
      <c r="D34" t="s">
        <v>80</v>
      </c>
      <c r="H34">
        <v>1463</v>
      </c>
    </row>
    <row r="35" spans="1:8" x14ac:dyDescent="0.3">
      <c r="A35" t="s">
        <v>22</v>
      </c>
      <c r="B35" s="2" t="s">
        <v>4</v>
      </c>
      <c r="C35" s="2"/>
      <c r="D35" t="s">
        <v>80</v>
      </c>
      <c r="H35">
        <v>722</v>
      </c>
    </row>
    <row r="36" spans="1:8" x14ac:dyDescent="0.3">
      <c r="A36" t="s">
        <v>22</v>
      </c>
      <c r="B36" s="2" t="s">
        <v>56</v>
      </c>
      <c r="C36" s="2"/>
      <c r="D36" t="s">
        <v>80</v>
      </c>
      <c r="H36">
        <v>1</v>
      </c>
    </row>
    <row r="37" spans="1:8" x14ac:dyDescent="0.3">
      <c r="A37" t="s">
        <v>22</v>
      </c>
      <c r="B37" s="2" t="s">
        <v>2</v>
      </c>
      <c r="C37" s="2"/>
      <c r="D37" t="s">
        <v>8</v>
      </c>
      <c r="H37">
        <v>64</v>
      </c>
    </row>
    <row r="38" spans="1:8" x14ac:dyDescent="0.3">
      <c r="A38" t="s">
        <v>22</v>
      </c>
      <c r="B38" s="2" t="s">
        <v>4</v>
      </c>
      <c r="C38" s="2"/>
      <c r="D38" t="s">
        <v>8</v>
      </c>
      <c r="H38">
        <v>31</v>
      </c>
    </row>
    <row r="39" spans="1:8" x14ac:dyDescent="0.3">
      <c r="A39" t="s">
        <v>22</v>
      </c>
      <c r="B39" s="2" t="s">
        <v>2</v>
      </c>
      <c r="C39" s="2"/>
      <c r="D39" t="s">
        <v>76</v>
      </c>
      <c r="H39">
        <v>375</v>
      </c>
    </row>
    <row r="40" spans="1:8" x14ac:dyDescent="0.3">
      <c r="A40" t="s">
        <v>22</v>
      </c>
      <c r="B40" s="2" t="s">
        <v>4</v>
      </c>
      <c r="C40" s="2"/>
      <c r="D40" t="s">
        <v>76</v>
      </c>
      <c r="H40">
        <v>5</v>
      </c>
    </row>
    <row r="41" spans="1:8" x14ac:dyDescent="0.3">
      <c r="A41" t="s">
        <v>22</v>
      </c>
      <c r="B41" s="2" t="s">
        <v>2</v>
      </c>
      <c r="D41" t="s">
        <v>10</v>
      </c>
      <c r="H41">
        <v>8</v>
      </c>
    </row>
    <row r="42" spans="1:8" x14ac:dyDescent="0.3">
      <c r="A42" t="s">
        <v>22</v>
      </c>
      <c r="B42" s="2" t="s">
        <v>4</v>
      </c>
      <c r="D42" t="s">
        <v>10</v>
      </c>
      <c r="H42">
        <v>5</v>
      </c>
    </row>
    <row r="43" spans="1:8" x14ac:dyDescent="0.3">
      <c r="A43" t="s">
        <v>22</v>
      </c>
      <c r="B43" s="2" t="s">
        <v>4</v>
      </c>
      <c r="D43" t="s">
        <v>5</v>
      </c>
      <c r="H43">
        <v>1</v>
      </c>
    </row>
    <row r="44" spans="1:8" x14ac:dyDescent="0.3">
      <c r="A44" t="s">
        <v>22</v>
      </c>
      <c r="B44" s="2" t="s">
        <v>2</v>
      </c>
      <c r="D44" t="s">
        <v>14</v>
      </c>
      <c r="H44">
        <v>141</v>
      </c>
    </row>
    <row r="45" spans="1:8" x14ac:dyDescent="0.3">
      <c r="A45" t="s">
        <v>22</v>
      </c>
      <c r="B45" s="2" t="s">
        <v>4</v>
      </c>
      <c r="D45" t="s">
        <v>14</v>
      </c>
      <c r="H45">
        <v>56</v>
      </c>
    </row>
    <row r="46" spans="1:8" x14ac:dyDescent="0.3">
      <c r="A46" t="s">
        <v>22</v>
      </c>
      <c r="B46" s="2" t="s">
        <v>2</v>
      </c>
      <c r="D46" t="s">
        <v>15</v>
      </c>
      <c r="H46">
        <v>125</v>
      </c>
    </row>
    <row r="47" spans="1:8" x14ac:dyDescent="0.3">
      <c r="A47" t="s">
        <v>22</v>
      </c>
      <c r="B47" s="2" t="s">
        <v>4</v>
      </c>
      <c r="D47" t="s">
        <v>15</v>
      </c>
      <c r="H47">
        <v>7</v>
      </c>
    </row>
    <row r="48" spans="1:8" x14ac:dyDescent="0.3">
      <c r="A48" t="s">
        <v>22</v>
      </c>
      <c r="B48" s="2" t="s">
        <v>2</v>
      </c>
      <c r="D48" t="s">
        <v>17</v>
      </c>
      <c r="H48">
        <v>83</v>
      </c>
    </row>
    <row r="49" spans="1:8" x14ac:dyDescent="0.3">
      <c r="A49" t="s">
        <v>22</v>
      </c>
      <c r="B49" s="2" t="s">
        <v>4</v>
      </c>
      <c r="D49" t="s">
        <v>17</v>
      </c>
      <c r="H49">
        <v>14</v>
      </c>
    </row>
    <row r="50" spans="1:8" x14ac:dyDescent="0.3">
      <c r="A50" t="s">
        <v>22</v>
      </c>
      <c r="B50" s="2" t="s">
        <v>2</v>
      </c>
      <c r="D50" t="s">
        <v>6</v>
      </c>
      <c r="H50">
        <v>56</v>
      </c>
    </row>
    <row r="51" spans="1:8" x14ac:dyDescent="0.3">
      <c r="A51" t="s">
        <v>22</v>
      </c>
      <c r="B51" s="2" t="s">
        <v>4</v>
      </c>
      <c r="D51" t="s">
        <v>6</v>
      </c>
      <c r="H51">
        <v>7</v>
      </c>
    </row>
    <row r="52" spans="1:8" x14ac:dyDescent="0.3">
      <c r="A52" t="s">
        <v>22</v>
      </c>
      <c r="B52" s="2" t="s">
        <v>2</v>
      </c>
      <c r="D52" t="s">
        <v>16</v>
      </c>
      <c r="H52">
        <v>887</v>
      </c>
    </row>
    <row r="53" spans="1:8" x14ac:dyDescent="0.3">
      <c r="A53" t="s">
        <v>22</v>
      </c>
      <c r="B53" s="2" t="s">
        <v>4</v>
      </c>
      <c r="D53" t="s">
        <v>16</v>
      </c>
      <c r="H53">
        <v>128</v>
      </c>
    </row>
    <row r="54" spans="1:8" x14ac:dyDescent="0.3">
      <c r="A54" t="s">
        <v>22</v>
      </c>
      <c r="B54" s="2" t="s">
        <v>2</v>
      </c>
      <c r="D54" t="s">
        <v>78</v>
      </c>
      <c r="H54">
        <f>1036+484</f>
        <v>1520</v>
      </c>
    </row>
    <row r="55" spans="1:8" x14ac:dyDescent="0.3">
      <c r="A55" t="s">
        <v>22</v>
      </c>
      <c r="B55" s="2" t="s">
        <v>4</v>
      </c>
      <c r="D55" t="s">
        <v>78</v>
      </c>
      <c r="H55">
        <f>260+97</f>
        <v>357</v>
      </c>
    </row>
    <row r="56" spans="1:8" x14ac:dyDescent="0.3">
      <c r="A56" t="s">
        <v>22</v>
      </c>
      <c r="B56" s="2" t="s">
        <v>2</v>
      </c>
      <c r="E56" t="s">
        <v>21</v>
      </c>
      <c r="H56">
        <v>1275</v>
      </c>
    </row>
    <row r="57" spans="1:8" x14ac:dyDescent="0.3">
      <c r="A57" t="s">
        <v>22</v>
      </c>
      <c r="B57" s="2" t="s">
        <v>4</v>
      </c>
      <c r="E57" t="s">
        <v>21</v>
      </c>
      <c r="H57">
        <v>478</v>
      </c>
    </row>
    <row r="58" spans="1:8" x14ac:dyDescent="0.3">
      <c r="A58" t="s">
        <v>22</v>
      </c>
      <c r="B58" s="2" t="s">
        <v>2</v>
      </c>
      <c r="E58" t="s">
        <v>91</v>
      </c>
      <c r="H58">
        <f>991+1109</f>
        <v>2100</v>
      </c>
    </row>
    <row r="59" spans="1:8" x14ac:dyDescent="0.3">
      <c r="A59" t="s">
        <v>22</v>
      </c>
      <c r="B59" s="2" t="s">
        <v>4</v>
      </c>
      <c r="E59" t="s">
        <v>91</v>
      </c>
      <c r="H59">
        <f>354+356</f>
        <v>710</v>
      </c>
    </row>
    <row r="60" spans="1:8" x14ac:dyDescent="0.3">
      <c r="A60" t="s">
        <v>22</v>
      </c>
      <c r="B60" s="2" t="s">
        <v>2</v>
      </c>
      <c r="E60" t="s">
        <v>90</v>
      </c>
      <c r="H60">
        <v>1639</v>
      </c>
    </row>
    <row r="61" spans="1:8" x14ac:dyDescent="0.3">
      <c r="A61" t="s">
        <v>22</v>
      </c>
      <c r="B61" s="2" t="s">
        <v>4</v>
      </c>
      <c r="E61" t="s">
        <v>90</v>
      </c>
      <c r="H61">
        <v>451</v>
      </c>
    </row>
    <row r="62" spans="1:8" x14ac:dyDescent="0.3">
      <c r="A62" t="s">
        <v>22</v>
      </c>
      <c r="B62" s="2" t="s">
        <v>56</v>
      </c>
      <c r="E62" t="s">
        <v>90</v>
      </c>
      <c r="H62">
        <v>2</v>
      </c>
    </row>
    <row r="63" spans="1:8" x14ac:dyDescent="0.3">
      <c r="A63" t="s">
        <v>22</v>
      </c>
      <c r="B63" s="2" t="s">
        <v>2</v>
      </c>
      <c r="E63" t="s">
        <v>89</v>
      </c>
      <c r="H63">
        <v>725</v>
      </c>
    </row>
    <row r="64" spans="1:8" x14ac:dyDescent="0.3">
      <c r="A64" t="s">
        <v>22</v>
      </c>
      <c r="B64" s="2" t="s">
        <v>4</v>
      </c>
      <c r="E64" t="s">
        <v>89</v>
      </c>
      <c r="H64">
        <v>204</v>
      </c>
    </row>
    <row r="65" spans="1:8" x14ac:dyDescent="0.3">
      <c r="A65" t="s">
        <v>22</v>
      </c>
      <c r="B65" s="2" t="s">
        <v>2</v>
      </c>
      <c r="E65" t="s">
        <v>60</v>
      </c>
      <c r="H65">
        <v>118</v>
      </c>
    </row>
    <row r="66" spans="1:8" x14ac:dyDescent="0.3">
      <c r="A66" t="s">
        <v>22</v>
      </c>
      <c r="B66" s="2" t="s">
        <v>4</v>
      </c>
      <c r="E66" t="s">
        <v>60</v>
      </c>
      <c r="H66">
        <v>15</v>
      </c>
    </row>
    <row r="67" spans="1:8" x14ac:dyDescent="0.3">
      <c r="A67" t="s">
        <v>22</v>
      </c>
      <c r="B67" s="2" t="s">
        <v>2</v>
      </c>
      <c r="E67" t="s">
        <v>61</v>
      </c>
      <c r="H67">
        <v>399</v>
      </c>
    </row>
    <row r="68" spans="1:8" x14ac:dyDescent="0.3">
      <c r="A68" t="s">
        <v>22</v>
      </c>
      <c r="B68" s="2" t="s">
        <v>4</v>
      </c>
      <c r="E68" t="s">
        <v>61</v>
      </c>
      <c r="H68">
        <v>150</v>
      </c>
    </row>
    <row r="69" spans="1:8" x14ac:dyDescent="0.3">
      <c r="A69" t="s">
        <v>22</v>
      </c>
      <c r="B69" s="2" t="s">
        <v>2</v>
      </c>
      <c r="E69" t="s">
        <v>92</v>
      </c>
      <c r="H69">
        <v>58</v>
      </c>
    </row>
    <row r="70" spans="1:8" x14ac:dyDescent="0.3">
      <c r="A70" t="s">
        <v>22</v>
      </c>
      <c r="B70" s="2" t="s">
        <v>4</v>
      </c>
      <c r="E70" t="s">
        <v>92</v>
      </c>
      <c r="H70">
        <v>4</v>
      </c>
    </row>
    <row r="71" spans="1:8" x14ac:dyDescent="0.3">
      <c r="A71" t="s">
        <v>22</v>
      </c>
      <c r="B71" s="2" t="s">
        <v>2</v>
      </c>
      <c r="E71" t="s">
        <v>62</v>
      </c>
      <c r="H71">
        <v>451</v>
      </c>
    </row>
    <row r="72" spans="1:8" x14ac:dyDescent="0.3">
      <c r="A72" t="s">
        <v>22</v>
      </c>
      <c r="B72" s="2" t="s">
        <v>4</v>
      </c>
      <c r="E72" t="s">
        <v>62</v>
      </c>
      <c r="H72">
        <v>129</v>
      </c>
    </row>
    <row r="73" spans="1:8" x14ac:dyDescent="0.3">
      <c r="A73" t="s">
        <v>22</v>
      </c>
      <c r="B73" s="2" t="s">
        <v>2</v>
      </c>
      <c r="F73" t="s">
        <v>64</v>
      </c>
      <c r="H73">
        <v>1540</v>
      </c>
    </row>
    <row r="74" spans="1:8" x14ac:dyDescent="0.3">
      <c r="A74" t="s">
        <v>22</v>
      </c>
      <c r="B74" s="2" t="s">
        <v>4</v>
      </c>
      <c r="F74" t="s">
        <v>64</v>
      </c>
      <c r="H74">
        <v>506</v>
      </c>
    </row>
    <row r="75" spans="1:8" x14ac:dyDescent="0.3">
      <c r="A75" t="s">
        <v>22</v>
      </c>
      <c r="B75" s="2" t="s">
        <v>56</v>
      </c>
      <c r="F75" t="s">
        <v>64</v>
      </c>
      <c r="H75">
        <v>1</v>
      </c>
    </row>
    <row r="76" spans="1:8" x14ac:dyDescent="0.3">
      <c r="A76" t="s">
        <v>22</v>
      </c>
      <c r="B76" s="2" t="s">
        <v>2</v>
      </c>
      <c r="F76" t="s">
        <v>18</v>
      </c>
      <c r="H76">
        <v>4653</v>
      </c>
    </row>
    <row r="77" spans="1:8" x14ac:dyDescent="0.3">
      <c r="A77" t="s">
        <v>22</v>
      </c>
      <c r="B77" s="2" t="s">
        <v>4</v>
      </c>
      <c r="F77" t="s">
        <v>18</v>
      </c>
      <c r="H77">
        <v>1457</v>
      </c>
    </row>
    <row r="78" spans="1:8" x14ac:dyDescent="0.3">
      <c r="A78" t="s">
        <v>22</v>
      </c>
      <c r="B78" s="2" t="s">
        <v>2</v>
      </c>
      <c r="F78" t="s">
        <v>19</v>
      </c>
      <c r="H78">
        <v>45</v>
      </c>
    </row>
    <row r="79" spans="1:8" x14ac:dyDescent="0.3">
      <c r="A79" t="s">
        <v>22</v>
      </c>
      <c r="B79" s="2" t="s">
        <v>4</v>
      </c>
      <c r="F79" t="s">
        <v>19</v>
      </c>
      <c r="H79">
        <v>42</v>
      </c>
    </row>
    <row r="80" spans="1:8" x14ac:dyDescent="0.3">
      <c r="A80" t="s">
        <v>22</v>
      </c>
      <c r="B80" s="2" t="s">
        <v>2</v>
      </c>
      <c r="F80" t="s">
        <v>20</v>
      </c>
      <c r="H80">
        <v>22</v>
      </c>
    </row>
    <row r="81" spans="1:8" x14ac:dyDescent="0.3">
      <c r="A81" t="s">
        <v>22</v>
      </c>
      <c r="B81" s="2" t="s">
        <v>4</v>
      </c>
      <c r="F81" t="s">
        <v>20</v>
      </c>
      <c r="H81">
        <v>10</v>
      </c>
    </row>
    <row r="82" spans="1:8" x14ac:dyDescent="0.3">
      <c r="A82" t="s">
        <v>22</v>
      </c>
      <c r="B82" s="2" t="s">
        <v>2</v>
      </c>
      <c r="F82" t="s">
        <v>65</v>
      </c>
      <c r="H82">
        <v>44</v>
      </c>
    </row>
    <row r="83" spans="1:8" x14ac:dyDescent="0.3">
      <c r="A83" t="s">
        <v>22</v>
      </c>
      <c r="B83" s="2" t="s">
        <v>4</v>
      </c>
      <c r="F83" t="s">
        <v>65</v>
      </c>
      <c r="H83">
        <v>17</v>
      </c>
    </row>
    <row r="84" spans="1:8" x14ac:dyDescent="0.3">
      <c r="A84" t="s">
        <v>22</v>
      </c>
      <c r="B84" s="2" t="s">
        <v>2</v>
      </c>
      <c r="F84" t="s">
        <v>66</v>
      </c>
      <c r="H84">
        <f>251+210</f>
        <v>461</v>
      </c>
    </row>
    <row r="85" spans="1:8" x14ac:dyDescent="0.3">
      <c r="A85" t="s">
        <v>22</v>
      </c>
      <c r="B85" s="2" t="s">
        <v>4</v>
      </c>
      <c r="F85" t="s">
        <v>66</v>
      </c>
      <c r="H85">
        <f>85+24</f>
        <v>109</v>
      </c>
    </row>
    <row r="86" spans="1:8" x14ac:dyDescent="0.3">
      <c r="A86" t="s">
        <v>22</v>
      </c>
      <c r="B86" s="2" t="s">
        <v>56</v>
      </c>
      <c r="F86" t="s">
        <v>66</v>
      </c>
      <c r="H86">
        <v>1</v>
      </c>
    </row>
    <row r="87" spans="1:8" x14ac:dyDescent="0.3">
      <c r="A87" t="s">
        <v>22</v>
      </c>
      <c r="B87" s="2" t="s">
        <v>4</v>
      </c>
      <c r="G87" t="s">
        <v>68</v>
      </c>
      <c r="H87">
        <v>885</v>
      </c>
    </row>
    <row r="88" spans="1:8" x14ac:dyDescent="0.3">
      <c r="A88" t="s">
        <v>22</v>
      </c>
      <c r="B88" s="2" t="s">
        <v>2</v>
      </c>
      <c r="G88" t="s">
        <v>82</v>
      </c>
      <c r="H88">
        <v>88</v>
      </c>
    </row>
    <row r="89" spans="1:8" x14ac:dyDescent="0.3">
      <c r="A89" t="s">
        <v>22</v>
      </c>
      <c r="B89" s="2" t="s">
        <v>4</v>
      </c>
      <c r="G89" t="s">
        <v>82</v>
      </c>
      <c r="H89">
        <v>15</v>
      </c>
    </row>
    <row r="90" spans="1:8" x14ac:dyDescent="0.3">
      <c r="A90" t="s">
        <v>22</v>
      </c>
      <c r="B90" s="2" t="s">
        <v>2</v>
      </c>
      <c r="G90" t="s">
        <v>83</v>
      </c>
      <c r="H90">
        <v>453</v>
      </c>
    </row>
    <row r="91" spans="1:8" x14ac:dyDescent="0.3">
      <c r="A91" t="s">
        <v>22</v>
      </c>
      <c r="B91" s="2" t="s">
        <v>4</v>
      </c>
      <c r="G91" t="s">
        <v>83</v>
      </c>
      <c r="H91">
        <v>59</v>
      </c>
    </row>
    <row r="92" spans="1:8" x14ac:dyDescent="0.3">
      <c r="A92" t="s">
        <v>22</v>
      </c>
      <c r="B92" s="2" t="s">
        <v>2</v>
      </c>
      <c r="G92" t="s">
        <v>69</v>
      </c>
      <c r="H92">
        <v>343</v>
      </c>
    </row>
    <row r="93" spans="1:8" x14ac:dyDescent="0.3">
      <c r="A93" t="s">
        <v>22</v>
      </c>
      <c r="B93" s="2" t="s">
        <v>4</v>
      </c>
      <c r="G93" t="s">
        <v>69</v>
      </c>
      <c r="H93">
        <v>232</v>
      </c>
    </row>
    <row r="94" spans="1:8" x14ac:dyDescent="0.3">
      <c r="A94" t="s">
        <v>22</v>
      </c>
      <c r="B94" s="2" t="s">
        <v>2</v>
      </c>
      <c r="G94" t="s">
        <v>70</v>
      </c>
      <c r="H94">
        <v>326</v>
      </c>
    </row>
    <row r="95" spans="1:8" x14ac:dyDescent="0.3">
      <c r="A95" t="s">
        <v>22</v>
      </c>
      <c r="B95" s="2" t="s">
        <v>4</v>
      </c>
      <c r="G95" t="s">
        <v>70</v>
      </c>
      <c r="H95">
        <v>38</v>
      </c>
    </row>
    <row r="96" spans="1:8" x14ac:dyDescent="0.3">
      <c r="A96" t="s">
        <v>22</v>
      </c>
      <c r="B96" s="2" t="s">
        <v>2</v>
      </c>
      <c r="G96" t="s">
        <v>84</v>
      </c>
      <c r="H96">
        <v>1021</v>
      </c>
    </row>
    <row r="97" spans="1:8" x14ac:dyDescent="0.3">
      <c r="A97" t="s">
        <v>22</v>
      </c>
      <c r="B97" s="2" t="s">
        <v>4</v>
      </c>
      <c r="G97" t="s">
        <v>84</v>
      </c>
      <c r="H97">
        <v>73</v>
      </c>
    </row>
    <row r="98" spans="1:8" x14ac:dyDescent="0.3">
      <c r="A98" t="s">
        <v>22</v>
      </c>
      <c r="B98" s="2" t="s">
        <v>56</v>
      </c>
      <c r="G98" t="s">
        <v>84</v>
      </c>
      <c r="H98">
        <v>1</v>
      </c>
    </row>
    <row r="99" spans="1:8" x14ac:dyDescent="0.3">
      <c r="A99" t="s">
        <v>22</v>
      </c>
      <c r="B99" s="2" t="s">
        <v>2</v>
      </c>
      <c r="G99" t="s">
        <v>85</v>
      </c>
      <c r="H99">
        <v>798</v>
      </c>
    </row>
    <row r="100" spans="1:8" x14ac:dyDescent="0.3">
      <c r="A100" t="s">
        <v>22</v>
      </c>
      <c r="B100" s="2" t="s">
        <v>4</v>
      </c>
      <c r="G100" t="s">
        <v>85</v>
      </c>
      <c r="H100">
        <v>119</v>
      </c>
    </row>
    <row r="101" spans="1:8" x14ac:dyDescent="0.3">
      <c r="A101" t="s">
        <v>22</v>
      </c>
      <c r="B101" s="2" t="s">
        <v>2</v>
      </c>
      <c r="G101" t="s">
        <v>71</v>
      </c>
      <c r="H101">
        <v>2520</v>
      </c>
    </row>
    <row r="102" spans="1:8" x14ac:dyDescent="0.3">
      <c r="A102" t="s">
        <v>22</v>
      </c>
      <c r="B102" s="2" t="s">
        <v>4</v>
      </c>
      <c r="G102" t="s">
        <v>71</v>
      </c>
      <c r="H102">
        <v>369</v>
      </c>
    </row>
    <row r="103" spans="1:8" x14ac:dyDescent="0.3">
      <c r="A103" t="s">
        <v>22</v>
      </c>
      <c r="B103" s="2" t="s">
        <v>2</v>
      </c>
      <c r="G103" t="s">
        <v>72</v>
      </c>
      <c r="H103">
        <v>1216</v>
      </c>
    </row>
    <row r="104" spans="1:8" x14ac:dyDescent="0.3">
      <c r="A104" t="s">
        <v>22</v>
      </c>
      <c r="B104" s="2" t="s">
        <v>4</v>
      </c>
      <c r="G104" t="s">
        <v>72</v>
      </c>
      <c r="H104">
        <v>351</v>
      </c>
    </row>
    <row r="105" spans="1:8" x14ac:dyDescent="0.3">
      <c r="A105" t="s">
        <v>22</v>
      </c>
      <c r="B105" s="2" t="s">
        <v>56</v>
      </c>
      <c r="G105" t="s">
        <v>72</v>
      </c>
      <c r="H105">
        <v>1</v>
      </c>
    </row>
    <row r="106" spans="1:8" x14ac:dyDescent="0.3">
      <c r="A106" t="s">
        <v>23</v>
      </c>
      <c r="B106" s="2" t="s">
        <v>2</v>
      </c>
      <c r="C106" s="4" t="s">
        <v>13</v>
      </c>
      <c r="H106">
        <v>6</v>
      </c>
    </row>
    <row r="107" spans="1:8" x14ac:dyDescent="0.3">
      <c r="A107" t="s">
        <v>23</v>
      </c>
      <c r="B107" s="2" t="s">
        <v>4</v>
      </c>
      <c r="C107" s="4" t="s">
        <v>13</v>
      </c>
      <c r="H107">
        <v>2</v>
      </c>
    </row>
    <row r="108" spans="1:8" x14ac:dyDescent="0.3">
      <c r="A108" t="s">
        <v>23</v>
      </c>
      <c r="B108" s="2" t="s">
        <v>2</v>
      </c>
      <c r="C108" s="4" t="s">
        <v>104</v>
      </c>
      <c r="H108" s="3">
        <v>4</v>
      </c>
    </row>
    <row r="109" spans="1:8" x14ac:dyDescent="0.3">
      <c r="A109" t="s">
        <v>23</v>
      </c>
      <c r="B109" s="2" t="s">
        <v>2</v>
      </c>
      <c r="C109" s="4" t="s">
        <v>7</v>
      </c>
      <c r="H109" s="3">
        <v>75</v>
      </c>
    </row>
    <row r="110" spans="1:8" x14ac:dyDescent="0.3">
      <c r="A110" t="s">
        <v>23</v>
      </c>
      <c r="B110" s="2" t="s">
        <v>4</v>
      </c>
      <c r="C110" s="4" t="s">
        <v>7</v>
      </c>
      <c r="H110" s="3">
        <v>23</v>
      </c>
    </row>
    <row r="111" spans="1:8" x14ac:dyDescent="0.3">
      <c r="A111" t="s">
        <v>23</v>
      </c>
      <c r="B111" s="2" t="s">
        <v>2</v>
      </c>
      <c r="C111" s="4" t="s">
        <v>79</v>
      </c>
      <c r="H111" s="3">
        <v>3</v>
      </c>
    </row>
    <row r="112" spans="1:8" x14ac:dyDescent="0.3">
      <c r="A112" t="s">
        <v>23</v>
      </c>
      <c r="B112" s="2" t="s">
        <v>2</v>
      </c>
      <c r="C112" s="4" t="s">
        <v>59</v>
      </c>
      <c r="H112" s="3">
        <v>26</v>
      </c>
    </row>
    <row r="113" spans="1:8" x14ac:dyDescent="0.3">
      <c r="A113" t="s">
        <v>23</v>
      </c>
      <c r="B113" s="2" t="s">
        <v>4</v>
      </c>
      <c r="C113" s="4" t="s">
        <v>59</v>
      </c>
      <c r="H113" s="3">
        <v>10</v>
      </c>
    </row>
    <row r="114" spans="1:8" x14ac:dyDescent="0.3">
      <c r="A114" t="s">
        <v>23</v>
      </c>
      <c r="B114" s="2" t="s">
        <v>4</v>
      </c>
      <c r="D114" t="s">
        <v>81</v>
      </c>
      <c r="H114">
        <v>2</v>
      </c>
    </row>
    <row r="115" spans="1:8" x14ac:dyDescent="0.3">
      <c r="A115" t="s">
        <v>23</v>
      </c>
      <c r="B115" s="2" t="s">
        <v>2</v>
      </c>
      <c r="D115" t="s">
        <v>74</v>
      </c>
      <c r="H115">
        <v>1</v>
      </c>
    </row>
    <row r="116" spans="1:8" x14ac:dyDescent="0.3">
      <c r="A116" t="s">
        <v>23</v>
      </c>
      <c r="B116" s="2" t="s">
        <v>2</v>
      </c>
      <c r="D116" t="s">
        <v>81</v>
      </c>
      <c r="H116">
        <v>2</v>
      </c>
    </row>
    <row r="117" spans="1:8" x14ac:dyDescent="0.3">
      <c r="A117" t="s">
        <v>23</v>
      </c>
      <c r="B117" s="2" t="s">
        <v>2</v>
      </c>
      <c r="D117" t="s">
        <v>11</v>
      </c>
      <c r="H117">
        <v>2</v>
      </c>
    </row>
    <row r="118" spans="1:8" x14ac:dyDescent="0.3">
      <c r="A118" t="s">
        <v>23</v>
      </c>
      <c r="B118" s="2" t="s">
        <v>4</v>
      </c>
      <c r="D118" t="s">
        <v>11</v>
      </c>
      <c r="H118">
        <v>2</v>
      </c>
    </row>
    <row r="119" spans="1:8" x14ac:dyDescent="0.3">
      <c r="A119" t="s">
        <v>23</v>
      </c>
      <c r="B119" s="2" t="s">
        <v>2</v>
      </c>
      <c r="D119" t="s">
        <v>80</v>
      </c>
      <c r="H119">
        <v>1</v>
      </c>
    </row>
    <row r="120" spans="1:8" x14ac:dyDescent="0.3">
      <c r="A120" t="s">
        <v>23</v>
      </c>
      <c r="B120" s="2" t="s">
        <v>2</v>
      </c>
      <c r="D120" t="s">
        <v>76</v>
      </c>
      <c r="H120">
        <v>4</v>
      </c>
    </row>
    <row r="121" spans="1:8" x14ac:dyDescent="0.3">
      <c r="A121" t="s">
        <v>23</v>
      </c>
      <c r="B121" s="2" t="s">
        <v>2</v>
      </c>
      <c r="D121" t="s">
        <v>10</v>
      </c>
      <c r="H121">
        <v>1</v>
      </c>
    </row>
    <row r="122" spans="1:8" x14ac:dyDescent="0.3">
      <c r="A122" t="s">
        <v>23</v>
      </c>
      <c r="B122" s="2" t="s">
        <v>2</v>
      </c>
      <c r="D122" t="s">
        <v>14</v>
      </c>
      <c r="H122">
        <v>6</v>
      </c>
    </row>
    <row r="123" spans="1:8" x14ac:dyDescent="0.3">
      <c r="A123" t="s">
        <v>23</v>
      </c>
      <c r="B123" s="2" t="s">
        <v>4</v>
      </c>
      <c r="D123" t="s">
        <v>14</v>
      </c>
      <c r="H123">
        <v>3</v>
      </c>
    </row>
    <row r="124" spans="1:8" x14ac:dyDescent="0.3">
      <c r="A124" t="s">
        <v>23</v>
      </c>
      <c r="B124" s="2" t="s">
        <v>2</v>
      </c>
      <c r="D124" t="s">
        <v>15</v>
      </c>
      <c r="H124">
        <v>1</v>
      </c>
    </row>
    <row r="125" spans="1:8" x14ac:dyDescent="0.3">
      <c r="A125" t="s">
        <v>23</v>
      </c>
      <c r="B125" s="2" t="s">
        <v>2</v>
      </c>
      <c r="D125" t="s">
        <v>17</v>
      </c>
      <c r="H125">
        <v>10</v>
      </c>
    </row>
    <row r="126" spans="1:8" x14ac:dyDescent="0.3">
      <c r="A126" t="s">
        <v>23</v>
      </c>
      <c r="B126" s="2" t="s">
        <v>4</v>
      </c>
      <c r="D126" t="s">
        <v>17</v>
      </c>
      <c r="H126">
        <v>2</v>
      </c>
    </row>
    <row r="127" spans="1:8" x14ac:dyDescent="0.3">
      <c r="A127" t="s">
        <v>23</v>
      </c>
      <c r="B127" s="2" t="s">
        <v>2</v>
      </c>
      <c r="D127" t="s">
        <v>16</v>
      </c>
      <c r="H127">
        <v>2</v>
      </c>
    </row>
    <row r="128" spans="1:8" x14ac:dyDescent="0.3">
      <c r="A128" t="s">
        <v>23</v>
      </c>
      <c r="B128" s="2" t="s">
        <v>2</v>
      </c>
      <c r="D128" t="s">
        <v>78</v>
      </c>
      <c r="H128">
        <v>84</v>
      </c>
    </row>
    <row r="129" spans="1:8" x14ac:dyDescent="0.3">
      <c r="A129" t="s">
        <v>23</v>
      </c>
      <c r="B129" s="2" t="s">
        <v>4</v>
      </c>
      <c r="D129" t="s">
        <v>78</v>
      </c>
      <c r="H129">
        <v>26</v>
      </c>
    </row>
    <row r="130" spans="1:8" x14ac:dyDescent="0.3">
      <c r="A130" t="s">
        <v>23</v>
      </c>
      <c r="B130" s="2" t="s">
        <v>2</v>
      </c>
      <c r="E130" t="s">
        <v>21</v>
      </c>
      <c r="H130">
        <v>6</v>
      </c>
    </row>
    <row r="131" spans="1:8" x14ac:dyDescent="0.3">
      <c r="A131" t="s">
        <v>23</v>
      </c>
      <c r="B131" s="2" t="s">
        <v>4</v>
      </c>
      <c r="E131" t="s">
        <v>21</v>
      </c>
      <c r="H131">
        <v>1</v>
      </c>
    </row>
    <row r="132" spans="1:8" x14ac:dyDescent="0.3">
      <c r="A132" t="s">
        <v>23</v>
      </c>
      <c r="B132" s="2" t="s">
        <v>2</v>
      </c>
      <c r="E132" t="s">
        <v>91</v>
      </c>
      <c r="H132">
        <f>23+22</f>
        <v>45</v>
      </c>
    </row>
    <row r="133" spans="1:8" x14ac:dyDescent="0.3">
      <c r="A133" t="s">
        <v>23</v>
      </c>
      <c r="B133" s="2" t="s">
        <v>4</v>
      </c>
      <c r="E133" t="s">
        <v>91</v>
      </c>
      <c r="H133">
        <v>11</v>
      </c>
    </row>
    <row r="134" spans="1:8" x14ac:dyDescent="0.3">
      <c r="A134" t="s">
        <v>23</v>
      </c>
      <c r="B134" s="2" t="s">
        <v>2</v>
      </c>
      <c r="E134" t="s">
        <v>90</v>
      </c>
      <c r="H134">
        <v>17</v>
      </c>
    </row>
    <row r="135" spans="1:8" x14ac:dyDescent="0.3">
      <c r="A135" t="s">
        <v>23</v>
      </c>
      <c r="B135" s="2" t="s">
        <v>4</v>
      </c>
      <c r="E135" t="s">
        <v>90</v>
      </c>
      <c r="H135">
        <v>8</v>
      </c>
    </row>
    <row r="136" spans="1:8" x14ac:dyDescent="0.3">
      <c r="A136" t="s">
        <v>23</v>
      </c>
      <c r="B136" s="2" t="s">
        <v>2</v>
      </c>
      <c r="E136" t="s">
        <v>89</v>
      </c>
      <c r="H136">
        <v>23</v>
      </c>
    </row>
    <row r="137" spans="1:8" x14ac:dyDescent="0.3">
      <c r="A137" t="s">
        <v>23</v>
      </c>
      <c r="B137" s="2" t="s">
        <v>4</v>
      </c>
      <c r="E137" t="s">
        <v>89</v>
      </c>
      <c r="H137">
        <v>9</v>
      </c>
    </row>
    <row r="138" spans="1:8" x14ac:dyDescent="0.3">
      <c r="A138" t="s">
        <v>23</v>
      </c>
      <c r="B138" s="2" t="s">
        <v>2</v>
      </c>
      <c r="E138" t="s">
        <v>60</v>
      </c>
      <c r="H138">
        <v>2</v>
      </c>
    </row>
    <row r="139" spans="1:8" x14ac:dyDescent="0.3">
      <c r="A139" t="s">
        <v>23</v>
      </c>
      <c r="B139" s="2" t="s">
        <v>2</v>
      </c>
      <c r="E139" t="s">
        <v>61</v>
      </c>
      <c r="H139">
        <v>6</v>
      </c>
    </row>
    <row r="140" spans="1:8" x14ac:dyDescent="0.3">
      <c r="A140" t="s">
        <v>23</v>
      </c>
      <c r="B140" s="2" t="s">
        <v>4</v>
      </c>
      <c r="E140" t="s">
        <v>61</v>
      </c>
      <c r="H140">
        <v>2</v>
      </c>
    </row>
    <row r="141" spans="1:8" x14ac:dyDescent="0.3">
      <c r="A141" t="s">
        <v>23</v>
      </c>
      <c r="B141" s="2" t="s">
        <v>2</v>
      </c>
      <c r="E141" t="s">
        <v>62</v>
      </c>
      <c r="H141">
        <v>15</v>
      </c>
    </row>
    <row r="142" spans="1:8" x14ac:dyDescent="0.3">
      <c r="A142" t="s">
        <v>23</v>
      </c>
      <c r="B142" s="2" t="s">
        <v>4</v>
      </c>
      <c r="E142" t="s">
        <v>62</v>
      </c>
      <c r="H142">
        <v>4</v>
      </c>
    </row>
    <row r="143" spans="1:8" x14ac:dyDescent="0.3">
      <c r="A143" t="s">
        <v>23</v>
      </c>
      <c r="B143" s="2" t="s">
        <v>2</v>
      </c>
      <c r="F143" t="s">
        <v>64</v>
      </c>
      <c r="H143">
        <v>39</v>
      </c>
    </row>
    <row r="144" spans="1:8" x14ac:dyDescent="0.3">
      <c r="A144" t="s">
        <v>23</v>
      </c>
      <c r="B144" s="2" t="s">
        <v>4</v>
      </c>
      <c r="F144" t="s">
        <v>64</v>
      </c>
      <c r="H144">
        <v>19</v>
      </c>
    </row>
    <row r="145" spans="1:8" x14ac:dyDescent="0.3">
      <c r="A145" t="s">
        <v>23</v>
      </c>
      <c r="B145" s="2" t="s">
        <v>2</v>
      </c>
      <c r="F145" t="s">
        <v>18</v>
      </c>
      <c r="H145">
        <v>62</v>
      </c>
    </row>
    <row r="146" spans="1:8" x14ac:dyDescent="0.3">
      <c r="A146" t="s">
        <v>23</v>
      </c>
      <c r="B146" s="2" t="s">
        <v>4</v>
      </c>
      <c r="F146" t="s">
        <v>18</v>
      </c>
      <c r="H146">
        <v>13</v>
      </c>
    </row>
    <row r="147" spans="1:8" x14ac:dyDescent="0.3">
      <c r="A147" t="s">
        <v>23</v>
      </c>
      <c r="B147" s="2" t="s">
        <v>2</v>
      </c>
      <c r="F147" t="s">
        <v>19</v>
      </c>
      <c r="H147">
        <v>1</v>
      </c>
    </row>
    <row r="148" spans="1:8" x14ac:dyDescent="0.3">
      <c r="A148" t="s">
        <v>23</v>
      </c>
      <c r="B148" s="2" t="s">
        <v>4</v>
      </c>
      <c r="F148" t="s">
        <v>19</v>
      </c>
      <c r="H148">
        <v>1</v>
      </c>
    </row>
    <row r="149" spans="1:8" x14ac:dyDescent="0.3">
      <c r="A149" t="s">
        <v>23</v>
      </c>
      <c r="B149" s="2" t="s">
        <v>2</v>
      </c>
      <c r="F149" t="s">
        <v>65</v>
      </c>
      <c r="H149">
        <v>1</v>
      </c>
    </row>
    <row r="150" spans="1:8" x14ac:dyDescent="0.3">
      <c r="A150" t="s">
        <v>23</v>
      </c>
      <c r="B150" s="2" t="s">
        <v>2</v>
      </c>
      <c r="F150" t="s">
        <v>66</v>
      </c>
      <c r="H150">
        <v>11</v>
      </c>
    </row>
    <row r="151" spans="1:8" x14ac:dyDescent="0.3">
      <c r="A151" t="s">
        <v>23</v>
      </c>
      <c r="B151" s="2" t="s">
        <v>4</v>
      </c>
      <c r="F151" t="s">
        <v>66</v>
      </c>
      <c r="H151">
        <v>2</v>
      </c>
    </row>
    <row r="152" spans="1:8" x14ac:dyDescent="0.3">
      <c r="A152" t="s">
        <v>23</v>
      </c>
      <c r="B152" s="2" t="s">
        <v>4</v>
      </c>
      <c r="G152" t="s">
        <v>68</v>
      </c>
      <c r="H152">
        <v>8</v>
      </c>
    </row>
    <row r="153" spans="1:8" x14ac:dyDescent="0.3">
      <c r="A153" t="s">
        <v>23</v>
      </c>
      <c r="B153" s="2" t="s">
        <v>2</v>
      </c>
      <c r="G153" t="s">
        <v>82</v>
      </c>
      <c r="H153">
        <v>16</v>
      </c>
    </row>
    <row r="154" spans="1:8" x14ac:dyDescent="0.3">
      <c r="A154" t="s">
        <v>23</v>
      </c>
      <c r="B154" s="2" t="s">
        <v>4</v>
      </c>
      <c r="G154" t="s">
        <v>82</v>
      </c>
      <c r="H154">
        <v>1</v>
      </c>
    </row>
    <row r="155" spans="1:8" x14ac:dyDescent="0.3">
      <c r="A155" t="s">
        <v>23</v>
      </c>
      <c r="B155" s="2" t="s">
        <v>2</v>
      </c>
      <c r="G155" t="s">
        <v>83</v>
      </c>
      <c r="H155">
        <v>1</v>
      </c>
    </row>
    <row r="156" spans="1:8" x14ac:dyDescent="0.3">
      <c r="A156" t="s">
        <v>23</v>
      </c>
      <c r="B156" s="2" t="s">
        <v>2</v>
      </c>
      <c r="G156" t="s">
        <v>69</v>
      </c>
      <c r="H156">
        <v>17</v>
      </c>
    </row>
    <row r="157" spans="1:8" x14ac:dyDescent="0.3">
      <c r="A157" t="s">
        <v>23</v>
      </c>
      <c r="B157" s="2" t="s">
        <v>4</v>
      </c>
      <c r="G157" t="s">
        <v>69</v>
      </c>
      <c r="H157">
        <v>11</v>
      </c>
    </row>
    <row r="158" spans="1:8" x14ac:dyDescent="0.3">
      <c r="A158" t="s">
        <v>23</v>
      </c>
      <c r="B158" s="2" t="s">
        <v>2</v>
      </c>
      <c r="G158" t="s">
        <v>70</v>
      </c>
      <c r="H158">
        <v>17</v>
      </c>
    </row>
    <row r="159" spans="1:8" x14ac:dyDescent="0.3">
      <c r="A159" t="s">
        <v>23</v>
      </c>
      <c r="B159" s="2" t="s">
        <v>4</v>
      </c>
      <c r="G159" t="s">
        <v>70</v>
      </c>
      <c r="H159">
        <v>3</v>
      </c>
    </row>
    <row r="160" spans="1:8" x14ac:dyDescent="0.3">
      <c r="A160" t="s">
        <v>23</v>
      </c>
      <c r="B160" s="2" t="s">
        <v>2</v>
      </c>
      <c r="G160" t="s">
        <v>84</v>
      </c>
      <c r="H160">
        <v>19</v>
      </c>
    </row>
    <row r="161" spans="1:8" x14ac:dyDescent="0.3">
      <c r="A161" t="s">
        <v>23</v>
      </c>
      <c r="B161" s="2" t="s">
        <v>4</v>
      </c>
      <c r="G161" t="s">
        <v>84</v>
      </c>
      <c r="H161">
        <v>3</v>
      </c>
    </row>
    <row r="162" spans="1:8" x14ac:dyDescent="0.3">
      <c r="A162" t="s">
        <v>23</v>
      </c>
      <c r="B162" s="2" t="s">
        <v>2</v>
      </c>
      <c r="G162" t="s">
        <v>85</v>
      </c>
      <c r="H162">
        <v>7</v>
      </c>
    </row>
    <row r="163" spans="1:8" x14ac:dyDescent="0.3">
      <c r="A163" t="s">
        <v>23</v>
      </c>
      <c r="B163" s="2" t="s">
        <v>2</v>
      </c>
      <c r="G163" t="s">
        <v>71</v>
      </c>
      <c r="H163">
        <v>18</v>
      </c>
    </row>
    <row r="164" spans="1:8" x14ac:dyDescent="0.3">
      <c r="A164" t="s">
        <v>23</v>
      </c>
      <c r="B164" s="2" t="s">
        <v>4</v>
      </c>
      <c r="G164" t="s">
        <v>71</v>
      </c>
      <c r="H164">
        <v>1</v>
      </c>
    </row>
    <row r="165" spans="1:8" x14ac:dyDescent="0.3">
      <c r="A165" t="s">
        <v>23</v>
      </c>
      <c r="B165" s="2" t="s">
        <v>2</v>
      </c>
      <c r="G165" t="s">
        <v>72</v>
      </c>
      <c r="H165">
        <v>19</v>
      </c>
    </row>
    <row r="166" spans="1:8" x14ac:dyDescent="0.3">
      <c r="A166" t="s">
        <v>23</v>
      </c>
      <c r="B166" s="2" t="s">
        <v>4</v>
      </c>
      <c r="G166" t="s">
        <v>72</v>
      </c>
      <c r="H166">
        <v>8</v>
      </c>
    </row>
    <row r="167" spans="1:8" x14ac:dyDescent="0.3">
      <c r="A167" t="s">
        <v>24</v>
      </c>
      <c r="B167" s="2" t="s">
        <v>2</v>
      </c>
      <c r="C167" s="4" t="s">
        <v>13</v>
      </c>
      <c r="H167" s="3">
        <v>121</v>
      </c>
    </row>
    <row r="168" spans="1:8" x14ac:dyDescent="0.3">
      <c r="A168" t="s">
        <v>24</v>
      </c>
      <c r="B168" s="2" t="s">
        <v>4</v>
      </c>
      <c r="C168" s="4" t="s">
        <v>13</v>
      </c>
      <c r="H168" s="3">
        <v>81</v>
      </c>
    </row>
    <row r="169" spans="1:8" x14ac:dyDescent="0.3">
      <c r="A169" t="s">
        <v>24</v>
      </c>
      <c r="B169" s="2" t="s">
        <v>2</v>
      </c>
      <c r="C169" s="4" t="s">
        <v>104</v>
      </c>
      <c r="H169" s="3">
        <v>71</v>
      </c>
    </row>
    <row r="170" spans="1:8" x14ac:dyDescent="0.3">
      <c r="A170" t="s">
        <v>24</v>
      </c>
      <c r="B170" s="2" t="s">
        <v>4</v>
      </c>
      <c r="C170" s="4" t="s">
        <v>104</v>
      </c>
      <c r="H170" s="3">
        <v>33</v>
      </c>
    </row>
    <row r="171" spans="1:8" x14ac:dyDescent="0.3">
      <c r="A171" t="s">
        <v>24</v>
      </c>
      <c r="B171" s="2" t="s">
        <v>2</v>
      </c>
      <c r="C171" s="4" t="s">
        <v>7</v>
      </c>
      <c r="H171" s="3">
        <v>1824</v>
      </c>
    </row>
    <row r="172" spans="1:8" x14ac:dyDescent="0.3">
      <c r="A172" t="s">
        <v>24</v>
      </c>
      <c r="B172" s="2" t="s">
        <v>4</v>
      </c>
      <c r="C172" s="4" t="s">
        <v>7</v>
      </c>
      <c r="H172" s="3">
        <v>735</v>
      </c>
    </row>
    <row r="173" spans="1:8" x14ac:dyDescent="0.3">
      <c r="A173" t="s">
        <v>24</v>
      </c>
      <c r="B173" s="2" t="s">
        <v>2</v>
      </c>
      <c r="C173" s="4" t="s">
        <v>103</v>
      </c>
      <c r="H173" s="3">
        <v>221</v>
      </c>
    </row>
    <row r="174" spans="1:8" x14ac:dyDescent="0.3">
      <c r="A174" t="s">
        <v>24</v>
      </c>
      <c r="B174" s="2" t="s">
        <v>4</v>
      </c>
      <c r="C174" s="4" t="s">
        <v>103</v>
      </c>
      <c r="H174" s="3">
        <v>143</v>
      </c>
    </row>
    <row r="175" spans="1:8" x14ac:dyDescent="0.3">
      <c r="A175" t="s">
        <v>24</v>
      </c>
      <c r="B175" s="2" t="s">
        <v>2</v>
      </c>
      <c r="C175" s="4" t="s">
        <v>79</v>
      </c>
      <c r="H175" s="3">
        <v>45</v>
      </c>
    </row>
    <row r="176" spans="1:8" x14ac:dyDescent="0.3">
      <c r="A176" t="s">
        <v>24</v>
      </c>
      <c r="B176" s="2" t="s">
        <v>4</v>
      </c>
      <c r="C176" s="4" t="s">
        <v>79</v>
      </c>
      <c r="H176" s="3">
        <v>14</v>
      </c>
    </row>
    <row r="177" spans="1:8" x14ac:dyDescent="0.3">
      <c r="A177" t="s">
        <v>24</v>
      </c>
      <c r="B177" s="2" t="s">
        <v>2</v>
      </c>
      <c r="C177" s="4" t="s">
        <v>105</v>
      </c>
      <c r="H177" s="3">
        <v>7</v>
      </c>
    </row>
    <row r="178" spans="1:8" x14ac:dyDescent="0.3">
      <c r="A178" t="s">
        <v>24</v>
      </c>
      <c r="B178" s="2" t="s">
        <v>4</v>
      </c>
      <c r="C178" s="4" t="s">
        <v>105</v>
      </c>
      <c r="H178" s="3">
        <v>4</v>
      </c>
    </row>
    <row r="179" spans="1:8" x14ac:dyDescent="0.3">
      <c r="A179" t="s">
        <v>24</v>
      </c>
      <c r="B179" s="2" t="s">
        <v>2</v>
      </c>
      <c r="C179" s="4" t="s">
        <v>58</v>
      </c>
      <c r="H179" s="3">
        <v>10</v>
      </c>
    </row>
    <row r="180" spans="1:8" x14ac:dyDescent="0.3">
      <c r="A180" t="s">
        <v>24</v>
      </c>
      <c r="B180" s="2" t="s">
        <v>4</v>
      </c>
      <c r="C180" s="4" t="s">
        <v>58</v>
      </c>
      <c r="H180" s="3">
        <v>3</v>
      </c>
    </row>
    <row r="181" spans="1:8" x14ac:dyDescent="0.3">
      <c r="A181" t="s">
        <v>24</v>
      </c>
      <c r="B181" s="2" t="s">
        <v>2</v>
      </c>
      <c r="C181" s="4" t="s">
        <v>59</v>
      </c>
      <c r="H181" s="3">
        <v>6</v>
      </c>
    </row>
    <row r="182" spans="1:8" x14ac:dyDescent="0.3">
      <c r="A182" t="s">
        <v>24</v>
      </c>
      <c r="B182" s="2" t="s">
        <v>4</v>
      </c>
      <c r="C182" s="4" t="s">
        <v>59</v>
      </c>
      <c r="H182" s="3">
        <v>2</v>
      </c>
    </row>
    <row r="183" spans="1:8" x14ac:dyDescent="0.3">
      <c r="A183" t="s">
        <v>24</v>
      </c>
      <c r="B183" s="2" t="s">
        <v>2</v>
      </c>
      <c r="D183" t="s">
        <v>81</v>
      </c>
      <c r="H183">
        <v>102</v>
      </c>
    </row>
    <row r="184" spans="1:8" x14ac:dyDescent="0.3">
      <c r="A184" t="s">
        <v>24</v>
      </c>
      <c r="B184" s="2" t="s">
        <v>4</v>
      </c>
      <c r="D184" t="s">
        <v>81</v>
      </c>
      <c r="H184">
        <v>63</v>
      </c>
    </row>
    <row r="185" spans="1:8" x14ac:dyDescent="0.3">
      <c r="A185" t="s">
        <v>24</v>
      </c>
      <c r="B185" s="2" t="s">
        <v>2</v>
      </c>
      <c r="D185" t="s">
        <v>73</v>
      </c>
      <c r="H185">
        <v>23</v>
      </c>
    </row>
    <row r="186" spans="1:8" x14ac:dyDescent="0.3">
      <c r="A186" t="s">
        <v>24</v>
      </c>
      <c r="B186" s="2" t="s">
        <v>4</v>
      </c>
      <c r="D186" t="s">
        <v>73</v>
      </c>
      <c r="H186">
        <v>94</v>
      </c>
    </row>
    <row r="187" spans="1:8" x14ac:dyDescent="0.3">
      <c r="A187" t="s">
        <v>24</v>
      </c>
      <c r="B187" s="2" t="s">
        <v>2</v>
      </c>
      <c r="D187" t="s">
        <v>74</v>
      </c>
      <c r="H187">
        <v>74</v>
      </c>
    </row>
    <row r="188" spans="1:8" x14ac:dyDescent="0.3">
      <c r="A188" t="s">
        <v>24</v>
      </c>
      <c r="B188" s="2" t="s">
        <v>4</v>
      </c>
      <c r="D188" t="s">
        <v>74</v>
      </c>
      <c r="H188">
        <v>41</v>
      </c>
    </row>
    <row r="189" spans="1:8" x14ac:dyDescent="0.3">
      <c r="A189" t="s">
        <v>24</v>
      </c>
      <c r="B189" s="2" t="s">
        <v>2</v>
      </c>
      <c r="D189" t="s">
        <v>3</v>
      </c>
      <c r="H189">
        <v>40</v>
      </c>
    </row>
    <row r="190" spans="1:8" x14ac:dyDescent="0.3">
      <c r="A190" t="s">
        <v>24</v>
      </c>
      <c r="B190" s="2" t="s">
        <v>4</v>
      </c>
      <c r="D190" t="s">
        <v>3</v>
      </c>
      <c r="H190">
        <v>7</v>
      </c>
    </row>
    <row r="191" spans="1:8" x14ac:dyDescent="0.3">
      <c r="A191" t="s">
        <v>24</v>
      </c>
      <c r="B191" s="2" t="s">
        <v>2</v>
      </c>
      <c r="D191" t="s">
        <v>9</v>
      </c>
      <c r="H191">
        <v>23</v>
      </c>
    </row>
    <row r="192" spans="1:8" x14ac:dyDescent="0.3">
      <c r="A192" t="s">
        <v>24</v>
      </c>
      <c r="B192" s="2" t="s">
        <v>4</v>
      </c>
      <c r="D192" t="s">
        <v>9</v>
      </c>
      <c r="H192">
        <v>19</v>
      </c>
    </row>
    <row r="193" spans="1:8" x14ac:dyDescent="0.3">
      <c r="A193" t="s">
        <v>24</v>
      </c>
      <c r="B193" s="2" t="s">
        <v>2</v>
      </c>
      <c r="D193" t="s">
        <v>11</v>
      </c>
      <c r="H193">
        <v>956</v>
      </c>
    </row>
    <row r="194" spans="1:8" x14ac:dyDescent="0.3">
      <c r="A194" t="s">
        <v>24</v>
      </c>
      <c r="B194" s="2" t="s">
        <v>4</v>
      </c>
      <c r="D194" t="s">
        <v>11</v>
      </c>
      <c r="H194">
        <v>328</v>
      </c>
    </row>
    <row r="195" spans="1:8" x14ac:dyDescent="0.3">
      <c r="A195" t="s">
        <v>24</v>
      </c>
      <c r="B195" s="2" t="s">
        <v>2</v>
      </c>
      <c r="D195" t="s">
        <v>80</v>
      </c>
      <c r="H195">
        <v>245</v>
      </c>
    </row>
    <row r="196" spans="1:8" x14ac:dyDescent="0.3">
      <c r="A196" t="s">
        <v>24</v>
      </c>
      <c r="B196" s="2" t="s">
        <v>4</v>
      </c>
      <c r="D196" t="s">
        <v>80</v>
      </c>
      <c r="H196">
        <v>99</v>
      </c>
    </row>
    <row r="197" spans="1:8" x14ac:dyDescent="0.3">
      <c r="A197" t="s">
        <v>24</v>
      </c>
      <c r="B197" s="2" t="s">
        <v>2</v>
      </c>
      <c r="D197" t="s">
        <v>8</v>
      </c>
      <c r="H197">
        <v>45</v>
      </c>
    </row>
    <row r="198" spans="1:8" x14ac:dyDescent="0.3">
      <c r="A198" t="s">
        <v>24</v>
      </c>
      <c r="B198" s="2" t="s">
        <v>4</v>
      </c>
      <c r="D198" t="s">
        <v>8</v>
      </c>
      <c r="H198">
        <v>7</v>
      </c>
    </row>
    <row r="199" spans="1:8" x14ac:dyDescent="0.3">
      <c r="A199" t="s">
        <v>24</v>
      </c>
      <c r="B199" s="2" t="s">
        <v>2</v>
      </c>
      <c r="D199" t="s">
        <v>76</v>
      </c>
      <c r="H199">
        <v>64</v>
      </c>
    </row>
    <row r="200" spans="1:8" x14ac:dyDescent="0.3">
      <c r="A200" t="s">
        <v>24</v>
      </c>
      <c r="B200" s="2" t="s">
        <v>2</v>
      </c>
      <c r="D200" t="s">
        <v>10</v>
      </c>
      <c r="H200">
        <v>19</v>
      </c>
    </row>
    <row r="201" spans="1:8" x14ac:dyDescent="0.3">
      <c r="A201" t="s">
        <v>24</v>
      </c>
      <c r="B201" s="2" t="s">
        <v>4</v>
      </c>
      <c r="D201" t="s">
        <v>10</v>
      </c>
      <c r="H201">
        <v>15</v>
      </c>
    </row>
    <row r="202" spans="1:8" x14ac:dyDescent="0.3">
      <c r="A202" t="s">
        <v>24</v>
      </c>
      <c r="B202" s="2" t="s">
        <v>2</v>
      </c>
      <c r="D202" t="s">
        <v>14</v>
      </c>
      <c r="H202">
        <v>185</v>
      </c>
    </row>
    <row r="203" spans="1:8" x14ac:dyDescent="0.3">
      <c r="A203" t="s">
        <v>24</v>
      </c>
      <c r="B203" s="2" t="s">
        <v>4</v>
      </c>
      <c r="D203" t="s">
        <v>14</v>
      </c>
      <c r="H203">
        <v>174</v>
      </c>
    </row>
    <row r="204" spans="1:8" x14ac:dyDescent="0.3">
      <c r="A204" t="s">
        <v>24</v>
      </c>
      <c r="B204" s="2" t="s">
        <v>2</v>
      </c>
      <c r="D204" t="s">
        <v>15</v>
      </c>
      <c r="H204">
        <v>107</v>
      </c>
    </row>
    <row r="205" spans="1:8" x14ac:dyDescent="0.3">
      <c r="A205" t="s">
        <v>24</v>
      </c>
      <c r="B205" s="2" t="s">
        <v>4</v>
      </c>
      <c r="D205" t="s">
        <v>15</v>
      </c>
      <c r="H205">
        <v>44</v>
      </c>
    </row>
    <row r="206" spans="1:8" x14ac:dyDescent="0.3">
      <c r="A206" t="s">
        <v>24</v>
      </c>
      <c r="B206" s="2" t="s">
        <v>2</v>
      </c>
      <c r="D206" t="s">
        <v>17</v>
      </c>
      <c r="H206">
        <v>126</v>
      </c>
    </row>
    <row r="207" spans="1:8" x14ac:dyDescent="0.3">
      <c r="A207" t="s">
        <v>24</v>
      </c>
      <c r="B207" s="2" t="s">
        <v>4</v>
      </c>
      <c r="D207" t="s">
        <v>17</v>
      </c>
      <c r="H207">
        <v>24</v>
      </c>
    </row>
    <row r="208" spans="1:8" x14ac:dyDescent="0.3">
      <c r="A208" t="s">
        <v>24</v>
      </c>
      <c r="B208" s="2" t="s">
        <v>2</v>
      </c>
      <c r="D208" t="s">
        <v>6</v>
      </c>
      <c r="H208">
        <v>196</v>
      </c>
    </row>
    <row r="209" spans="1:8" x14ac:dyDescent="0.3">
      <c r="A209" t="s">
        <v>24</v>
      </c>
      <c r="B209" s="2" t="s">
        <v>4</v>
      </c>
      <c r="D209" t="s">
        <v>6</v>
      </c>
      <c r="H209">
        <v>83</v>
      </c>
    </row>
    <row r="210" spans="1:8" x14ac:dyDescent="0.3">
      <c r="A210" t="s">
        <v>24</v>
      </c>
      <c r="B210" s="2" t="s">
        <v>2</v>
      </c>
      <c r="D210" t="s">
        <v>16</v>
      </c>
      <c r="H210">
        <v>88</v>
      </c>
    </row>
    <row r="211" spans="1:8" x14ac:dyDescent="0.3">
      <c r="A211" t="s">
        <v>24</v>
      </c>
      <c r="B211" s="2" t="s">
        <v>4</v>
      </c>
      <c r="D211" t="s">
        <v>16</v>
      </c>
      <c r="H211">
        <v>13</v>
      </c>
    </row>
    <row r="212" spans="1:8" x14ac:dyDescent="0.3">
      <c r="A212" t="s">
        <v>24</v>
      </c>
      <c r="B212" s="2" t="s">
        <v>2</v>
      </c>
      <c r="D212" t="s">
        <v>78</v>
      </c>
      <c r="H212">
        <v>16</v>
      </c>
    </row>
    <row r="213" spans="1:8" x14ac:dyDescent="0.3">
      <c r="A213" t="s">
        <v>24</v>
      </c>
      <c r="B213" s="2" t="s">
        <v>2</v>
      </c>
      <c r="E213" t="s">
        <v>21</v>
      </c>
      <c r="H213">
        <v>294</v>
      </c>
    </row>
    <row r="214" spans="1:8" x14ac:dyDescent="0.3">
      <c r="A214" t="s">
        <v>24</v>
      </c>
      <c r="B214" s="2" t="s">
        <v>4</v>
      </c>
      <c r="E214" t="s">
        <v>21</v>
      </c>
      <c r="H214">
        <v>154</v>
      </c>
    </row>
    <row r="215" spans="1:8" x14ac:dyDescent="0.3">
      <c r="A215" t="s">
        <v>24</v>
      </c>
      <c r="B215" s="2" t="s">
        <v>2</v>
      </c>
      <c r="E215" t="s">
        <v>91</v>
      </c>
      <c r="H215">
        <f>512+382</f>
        <v>894</v>
      </c>
    </row>
    <row r="216" spans="1:8" x14ac:dyDescent="0.3">
      <c r="A216" t="s">
        <v>24</v>
      </c>
      <c r="B216" s="2" t="s">
        <v>4</v>
      </c>
      <c r="E216" t="s">
        <v>91</v>
      </c>
      <c r="H216">
        <f>221+174</f>
        <v>395</v>
      </c>
    </row>
    <row r="217" spans="1:8" x14ac:dyDescent="0.3">
      <c r="A217" t="s">
        <v>24</v>
      </c>
      <c r="B217" s="2" t="s">
        <v>2</v>
      </c>
      <c r="E217" t="s">
        <v>90</v>
      </c>
      <c r="H217">
        <v>589</v>
      </c>
    </row>
    <row r="218" spans="1:8" x14ac:dyDescent="0.3">
      <c r="A218" t="s">
        <v>24</v>
      </c>
      <c r="B218" s="2" t="s">
        <v>4</v>
      </c>
      <c r="E218" t="s">
        <v>90</v>
      </c>
      <c r="H218">
        <v>281</v>
      </c>
    </row>
    <row r="219" spans="1:8" x14ac:dyDescent="0.3">
      <c r="A219" t="s">
        <v>24</v>
      </c>
      <c r="B219" s="2" t="s">
        <v>2</v>
      </c>
      <c r="E219" t="s">
        <v>89</v>
      </c>
      <c r="H219">
        <v>374</v>
      </c>
    </row>
    <row r="220" spans="1:8" x14ac:dyDescent="0.3">
      <c r="A220" t="s">
        <v>24</v>
      </c>
      <c r="B220" s="2" t="s">
        <v>4</v>
      </c>
      <c r="E220" t="s">
        <v>89</v>
      </c>
      <c r="H220">
        <v>145</v>
      </c>
    </row>
    <row r="221" spans="1:8" x14ac:dyDescent="0.3">
      <c r="A221" t="s">
        <v>24</v>
      </c>
      <c r="B221" s="2" t="s">
        <v>2</v>
      </c>
      <c r="E221" t="s">
        <v>60</v>
      </c>
      <c r="H221">
        <v>46</v>
      </c>
    </row>
    <row r="222" spans="1:8" x14ac:dyDescent="0.3">
      <c r="A222" t="s">
        <v>24</v>
      </c>
      <c r="B222" s="2" t="s">
        <v>2</v>
      </c>
      <c r="E222" t="s">
        <v>61</v>
      </c>
      <c r="H222">
        <v>110</v>
      </c>
    </row>
    <row r="223" spans="1:8" x14ac:dyDescent="0.3">
      <c r="A223" t="s">
        <v>24</v>
      </c>
      <c r="B223" s="2" t="s">
        <v>4</v>
      </c>
      <c r="E223" t="s">
        <v>61</v>
      </c>
      <c r="H223">
        <v>33</v>
      </c>
    </row>
    <row r="224" spans="1:8" x14ac:dyDescent="0.3">
      <c r="A224" t="s">
        <v>24</v>
      </c>
      <c r="B224" s="2" t="s">
        <v>2</v>
      </c>
      <c r="E224" t="s">
        <v>62</v>
      </c>
      <c r="H224">
        <v>2</v>
      </c>
    </row>
    <row r="225" spans="1:8" x14ac:dyDescent="0.3">
      <c r="A225" t="s">
        <v>24</v>
      </c>
      <c r="B225" s="2" t="s">
        <v>4</v>
      </c>
      <c r="E225" t="s">
        <v>62</v>
      </c>
      <c r="H225">
        <v>3</v>
      </c>
    </row>
    <row r="226" spans="1:8" x14ac:dyDescent="0.3">
      <c r="A226" t="s">
        <v>24</v>
      </c>
      <c r="B226" s="2" t="s">
        <v>2</v>
      </c>
      <c r="F226" t="s">
        <v>64</v>
      </c>
      <c r="H226">
        <v>670</v>
      </c>
    </row>
    <row r="227" spans="1:8" x14ac:dyDescent="0.3">
      <c r="A227" t="s">
        <v>24</v>
      </c>
      <c r="B227" s="2" t="s">
        <v>4</v>
      </c>
      <c r="F227" t="s">
        <v>64</v>
      </c>
      <c r="H227">
        <v>378</v>
      </c>
    </row>
    <row r="228" spans="1:8" x14ac:dyDescent="0.3">
      <c r="A228" t="s">
        <v>24</v>
      </c>
      <c r="B228" s="2" t="s">
        <v>2</v>
      </c>
      <c r="F228" t="s">
        <v>18</v>
      </c>
      <c r="H228">
        <v>1527</v>
      </c>
    </row>
    <row r="229" spans="1:8" x14ac:dyDescent="0.3">
      <c r="A229" t="s">
        <v>24</v>
      </c>
      <c r="B229" s="2" t="s">
        <v>4</v>
      </c>
      <c r="F229" t="s">
        <v>18</v>
      </c>
      <c r="H229">
        <v>582</v>
      </c>
    </row>
    <row r="230" spans="1:8" x14ac:dyDescent="0.3">
      <c r="A230" t="s">
        <v>24</v>
      </c>
      <c r="B230" s="2" t="s">
        <v>2</v>
      </c>
      <c r="F230" t="s">
        <v>19</v>
      </c>
      <c r="H230">
        <v>22</v>
      </c>
    </row>
    <row r="231" spans="1:8" x14ac:dyDescent="0.3">
      <c r="A231" t="s">
        <v>24</v>
      </c>
      <c r="B231" s="2" t="s">
        <v>4</v>
      </c>
      <c r="F231" t="s">
        <v>19</v>
      </c>
      <c r="H231">
        <v>19</v>
      </c>
    </row>
    <row r="232" spans="1:8" x14ac:dyDescent="0.3">
      <c r="A232" t="s">
        <v>24</v>
      </c>
      <c r="B232" s="2" t="s">
        <v>2</v>
      </c>
      <c r="F232" t="s">
        <v>20</v>
      </c>
      <c r="H232">
        <v>27</v>
      </c>
    </row>
    <row r="233" spans="1:8" x14ac:dyDescent="0.3">
      <c r="A233" t="s">
        <v>24</v>
      </c>
      <c r="B233" s="2" t="s">
        <v>4</v>
      </c>
      <c r="F233" t="s">
        <v>20</v>
      </c>
      <c r="H233">
        <v>12</v>
      </c>
    </row>
    <row r="234" spans="1:8" x14ac:dyDescent="0.3">
      <c r="A234" t="s">
        <v>24</v>
      </c>
      <c r="B234" s="2" t="s">
        <v>2</v>
      </c>
      <c r="F234" t="s">
        <v>65</v>
      </c>
      <c r="H234">
        <v>49</v>
      </c>
    </row>
    <row r="235" spans="1:8" x14ac:dyDescent="0.3">
      <c r="A235" t="s">
        <v>24</v>
      </c>
      <c r="B235" s="2" t="s">
        <v>4</v>
      </c>
      <c r="F235" t="s">
        <v>65</v>
      </c>
      <c r="H235">
        <v>14</v>
      </c>
    </row>
    <row r="236" spans="1:8" x14ac:dyDescent="0.3">
      <c r="A236" t="s">
        <v>24</v>
      </c>
      <c r="B236" s="2" t="s">
        <v>2</v>
      </c>
      <c r="F236" t="s">
        <v>66</v>
      </c>
      <c r="H236">
        <v>14</v>
      </c>
    </row>
    <row r="237" spans="1:8" x14ac:dyDescent="0.3">
      <c r="A237" t="s">
        <v>24</v>
      </c>
      <c r="B237" s="2" t="s">
        <v>4</v>
      </c>
      <c r="F237" t="s">
        <v>66</v>
      </c>
      <c r="H237">
        <v>6</v>
      </c>
    </row>
    <row r="238" spans="1:8" x14ac:dyDescent="0.3">
      <c r="A238" t="s">
        <v>24</v>
      </c>
      <c r="B238" s="2" t="s">
        <v>4</v>
      </c>
      <c r="G238" t="s">
        <v>68</v>
      </c>
      <c r="H238">
        <v>429</v>
      </c>
    </row>
    <row r="239" spans="1:8" x14ac:dyDescent="0.3">
      <c r="A239" t="s">
        <v>24</v>
      </c>
      <c r="B239" s="2" t="s">
        <v>2</v>
      </c>
      <c r="G239" t="s">
        <v>82</v>
      </c>
      <c r="H239">
        <v>68</v>
      </c>
    </row>
    <row r="240" spans="1:8" x14ac:dyDescent="0.3">
      <c r="A240" t="s">
        <v>24</v>
      </c>
      <c r="B240" s="2" t="s">
        <v>4</v>
      </c>
      <c r="G240" t="s">
        <v>82</v>
      </c>
      <c r="H240">
        <v>1</v>
      </c>
    </row>
    <row r="241" spans="1:8" x14ac:dyDescent="0.3">
      <c r="A241" t="s">
        <v>24</v>
      </c>
      <c r="B241" s="2" t="s">
        <v>2</v>
      </c>
      <c r="G241" t="s">
        <v>83</v>
      </c>
      <c r="H241">
        <v>397</v>
      </c>
    </row>
    <row r="242" spans="1:8" x14ac:dyDescent="0.3">
      <c r="A242" t="s">
        <v>24</v>
      </c>
      <c r="B242" s="2" t="s">
        <v>4</v>
      </c>
      <c r="G242" t="s">
        <v>83</v>
      </c>
      <c r="H242">
        <v>89</v>
      </c>
    </row>
    <row r="243" spans="1:8" x14ac:dyDescent="0.3">
      <c r="A243" t="s">
        <v>24</v>
      </c>
      <c r="B243" s="2" t="s">
        <v>2</v>
      </c>
      <c r="G243" t="s">
        <v>69</v>
      </c>
      <c r="H243">
        <v>217</v>
      </c>
    </row>
    <row r="244" spans="1:8" x14ac:dyDescent="0.3">
      <c r="A244" t="s">
        <v>24</v>
      </c>
      <c r="B244" s="2" t="s">
        <v>4</v>
      </c>
      <c r="G244" t="s">
        <v>69</v>
      </c>
      <c r="H244">
        <v>195</v>
      </c>
    </row>
    <row r="245" spans="1:8" x14ac:dyDescent="0.3">
      <c r="A245" t="s">
        <v>24</v>
      </c>
      <c r="B245" s="2" t="s">
        <v>2</v>
      </c>
      <c r="G245" t="s">
        <v>70</v>
      </c>
      <c r="H245">
        <v>798</v>
      </c>
    </row>
    <row r="246" spans="1:8" x14ac:dyDescent="0.3">
      <c r="A246" t="s">
        <v>24</v>
      </c>
      <c r="B246" s="2" t="s">
        <v>4</v>
      </c>
      <c r="G246" t="s">
        <v>70</v>
      </c>
      <c r="H246">
        <v>126</v>
      </c>
    </row>
    <row r="247" spans="1:8" x14ac:dyDescent="0.3">
      <c r="A247" t="s">
        <v>24</v>
      </c>
      <c r="B247" s="2" t="s">
        <v>2</v>
      </c>
      <c r="G247" t="s">
        <v>84</v>
      </c>
      <c r="H247">
        <v>213</v>
      </c>
    </row>
    <row r="248" spans="1:8" x14ac:dyDescent="0.3">
      <c r="A248" t="s">
        <v>24</v>
      </c>
      <c r="B248" s="2" t="s">
        <v>4</v>
      </c>
      <c r="G248" t="s">
        <v>84</v>
      </c>
      <c r="H248">
        <v>20</v>
      </c>
    </row>
    <row r="249" spans="1:8" x14ac:dyDescent="0.3">
      <c r="A249" t="s">
        <v>24</v>
      </c>
      <c r="B249" s="2" t="s">
        <v>2</v>
      </c>
      <c r="G249" t="s">
        <v>85</v>
      </c>
      <c r="H249">
        <v>115</v>
      </c>
    </row>
    <row r="250" spans="1:8" x14ac:dyDescent="0.3">
      <c r="A250" t="s">
        <v>24</v>
      </c>
      <c r="B250" s="2" t="s">
        <v>4</v>
      </c>
      <c r="G250" t="s">
        <v>85</v>
      </c>
      <c r="H250">
        <v>8</v>
      </c>
    </row>
    <row r="251" spans="1:8" x14ac:dyDescent="0.3">
      <c r="A251" t="s">
        <v>24</v>
      </c>
      <c r="B251" s="2" t="s">
        <v>2</v>
      </c>
      <c r="G251" t="s">
        <v>71</v>
      </c>
      <c r="H251">
        <v>488</v>
      </c>
    </row>
    <row r="252" spans="1:8" x14ac:dyDescent="0.3">
      <c r="A252" t="s">
        <v>24</v>
      </c>
      <c r="B252" s="2" t="s">
        <v>4</v>
      </c>
      <c r="G252" t="s">
        <v>71</v>
      </c>
      <c r="H252">
        <v>135</v>
      </c>
    </row>
    <row r="253" spans="1:8" x14ac:dyDescent="0.3">
      <c r="A253" t="s">
        <v>24</v>
      </c>
      <c r="B253" s="2" t="s">
        <v>2</v>
      </c>
      <c r="G253" t="s">
        <v>72</v>
      </c>
      <c r="H253">
        <v>13</v>
      </c>
    </row>
    <row r="254" spans="1:8" x14ac:dyDescent="0.3">
      <c r="A254" t="s">
        <v>24</v>
      </c>
      <c r="B254" s="2" t="s">
        <v>4</v>
      </c>
      <c r="G254" t="s">
        <v>72</v>
      </c>
      <c r="H254">
        <v>8</v>
      </c>
    </row>
    <row r="255" spans="1:8" x14ac:dyDescent="0.3">
      <c r="A255" t="s">
        <v>25</v>
      </c>
      <c r="B255" s="2" t="s">
        <v>2</v>
      </c>
      <c r="C255" s="4" t="s">
        <v>13</v>
      </c>
      <c r="H255" s="3">
        <v>4</v>
      </c>
    </row>
    <row r="256" spans="1:8" x14ac:dyDescent="0.3">
      <c r="A256" t="s">
        <v>25</v>
      </c>
      <c r="B256" s="2" t="s">
        <v>4</v>
      </c>
      <c r="C256" s="4" t="s">
        <v>13</v>
      </c>
      <c r="H256" s="3">
        <v>2</v>
      </c>
    </row>
    <row r="257" spans="1:8" x14ac:dyDescent="0.3">
      <c r="A257" t="s">
        <v>25</v>
      </c>
      <c r="B257" s="2" t="s">
        <v>4</v>
      </c>
      <c r="C257" s="4" t="s">
        <v>104</v>
      </c>
      <c r="H257" s="3">
        <v>11</v>
      </c>
    </row>
    <row r="258" spans="1:8" x14ac:dyDescent="0.3">
      <c r="A258" t="s">
        <v>25</v>
      </c>
      <c r="B258" s="2" t="s">
        <v>2</v>
      </c>
      <c r="C258" s="4" t="s">
        <v>7</v>
      </c>
      <c r="H258" s="3">
        <v>289</v>
      </c>
    </row>
    <row r="259" spans="1:8" x14ac:dyDescent="0.3">
      <c r="A259" t="s">
        <v>25</v>
      </c>
      <c r="B259" s="2" t="s">
        <v>4</v>
      </c>
      <c r="C259" s="4" t="s">
        <v>7</v>
      </c>
      <c r="H259" s="3">
        <v>235</v>
      </c>
    </row>
    <row r="260" spans="1:8" x14ac:dyDescent="0.3">
      <c r="A260" t="s">
        <v>25</v>
      </c>
      <c r="B260" s="2" t="s">
        <v>2</v>
      </c>
      <c r="C260" s="4" t="s">
        <v>103</v>
      </c>
      <c r="H260" s="3">
        <f>58+16</f>
        <v>74</v>
      </c>
    </row>
    <row r="261" spans="1:8" x14ac:dyDescent="0.3">
      <c r="A261" t="s">
        <v>25</v>
      </c>
      <c r="B261" s="2" t="s">
        <v>4</v>
      </c>
      <c r="C261" s="4" t="s">
        <v>103</v>
      </c>
      <c r="H261" s="3">
        <v>65</v>
      </c>
    </row>
    <row r="262" spans="1:8" x14ac:dyDescent="0.3">
      <c r="A262" t="s">
        <v>25</v>
      </c>
      <c r="B262" s="2" t="s">
        <v>2</v>
      </c>
      <c r="C262" s="4" t="s">
        <v>104</v>
      </c>
      <c r="H262" s="3">
        <v>8</v>
      </c>
    </row>
    <row r="263" spans="1:8" x14ac:dyDescent="0.3">
      <c r="A263" t="s">
        <v>25</v>
      </c>
      <c r="B263" s="2" t="s">
        <v>2</v>
      </c>
      <c r="C263" s="4" t="s">
        <v>79</v>
      </c>
      <c r="H263" s="3">
        <v>10</v>
      </c>
    </row>
    <row r="264" spans="1:8" x14ac:dyDescent="0.3">
      <c r="A264" t="s">
        <v>25</v>
      </c>
      <c r="B264" s="2" t="s">
        <v>4</v>
      </c>
      <c r="C264" s="4" t="s">
        <v>79</v>
      </c>
      <c r="H264" s="3">
        <v>3</v>
      </c>
    </row>
    <row r="265" spans="1:8" x14ac:dyDescent="0.3">
      <c r="A265" t="s">
        <v>25</v>
      </c>
      <c r="B265" s="2" t="s">
        <v>2</v>
      </c>
      <c r="C265" s="4" t="s">
        <v>58</v>
      </c>
      <c r="H265" s="3">
        <v>1</v>
      </c>
    </row>
    <row r="266" spans="1:8" x14ac:dyDescent="0.3">
      <c r="A266" t="s">
        <v>25</v>
      </c>
      <c r="B266" s="2" t="s">
        <v>2</v>
      </c>
      <c r="D266" t="s">
        <v>81</v>
      </c>
      <c r="H266">
        <v>37</v>
      </c>
    </row>
    <row r="267" spans="1:8" x14ac:dyDescent="0.3">
      <c r="A267" t="s">
        <v>25</v>
      </c>
      <c r="B267" s="2" t="s">
        <v>4</v>
      </c>
      <c r="D267" t="s">
        <v>81</v>
      </c>
      <c r="H267">
        <v>27</v>
      </c>
    </row>
    <row r="268" spans="1:8" x14ac:dyDescent="0.3">
      <c r="A268" t="s">
        <v>25</v>
      </c>
      <c r="B268" s="2" t="s">
        <v>4</v>
      </c>
      <c r="D268" t="s">
        <v>73</v>
      </c>
      <c r="H268">
        <v>9</v>
      </c>
    </row>
    <row r="269" spans="1:8" x14ac:dyDescent="0.3">
      <c r="A269" t="s">
        <v>25</v>
      </c>
      <c r="B269" s="2" t="s">
        <v>2</v>
      </c>
      <c r="D269" t="s">
        <v>74</v>
      </c>
      <c r="H269">
        <v>14</v>
      </c>
    </row>
    <row r="270" spans="1:8" x14ac:dyDescent="0.3">
      <c r="A270" t="s">
        <v>25</v>
      </c>
      <c r="B270" s="2" t="s">
        <v>4</v>
      </c>
      <c r="D270" t="s">
        <v>74</v>
      </c>
      <c r="H270">
        <v>12</v>
      </c>
    </row>
    <row r="271" spans="1:8" x14ac:dyDescent="0.3">
      <c r="A271" t="s">
        <v>25</v>
      </c>
      <c r="B271" s="2" t="s">
        <v>2</v>
      </c>
      <c r="D271" t="s">
        <v>3</v>
      </c>
      <c r="H271">
        <v>3</v>
      </c>
    </row>
    <row r="272" spans="1:8" x14ac:dyDescent="0.3">
      <c r="A272" t="s">
        <v>25</v>
      </c>
      <c r="B272" s="2" t="s">
        <v>4</v>
      </c>
      <c r="D272" t="s">
        <v>3</v>
      </c>
      <c r="H272">
        <v>4</v>
      </c>
    </row>
    <row r="273" spans="1:8" x14ac:dyDescent="0.3">
      <c r="A273" t="s">
        <v>25</v>
      </c>
      <c r="B273" s="2" t="s">
        <v>2</v>
      </c>
      <c r="D273" t="s">
        <v>9</v>
      </c>
      <c r="H273">
        <v>20</v>
      </c>
    </row>
    <row r="274" spans="1:8" x14ac:dyDescent="0.3">
      <c r="A274" t="s">
        <v>25</v>
      </c>
      <c r="B274" s="2" t="s">
        <v>4</v>
      </c>
      <c r="D274" t="s">
        <v>9</v>
      </c>
      <c r="H274">
        <v>10</v>
      </c>
    </row>
    <row r="275" spans="1:8" x14ac:dyDescent="0.3">
      <c r="A275" t="s">
        <v>25</v>
      </c>
      <c r="B275" s="2" t="s">
        <v>2</v>
      </c>
      <c r="D275" t="s">
        <v>11</v>
      </c>
      <c r="H275">
        <v>164</v>
      </c>
    </row>
    <row r="276" spans="1:8" x14ac:dyDescent="0.3">
      <c r="A276" t="s">
        <v>25</v>
      </c>
      <c r="B276" s="2" t="s">
        <v>4</v>
      </c>
      <c r="D276" t="s">
        <v>11</v>
      </c>
      <c r="H276">
        <v>144</v>
      </c>
    </row>
    <row r="277" spans="1:8" x14ac:dyDescent="0.3">
      <c r="A277" t="s">
        <v>25</v>
      </c>
      <c r="B277" s="2" t="s">
        <v>2</v>
      </c>
      <c r="D277" t="s">
        <v>80</v>
      </c>
      <c r="H277">
        <v>18</v>
      </c>
    </row>
    <row r="278" spans="1:8" x14ac:dyDescent="0.3">
      <c r="A278" t="s">
        <v>25</v>
      </c>
      <c r="B278" s="2" t="s">
        <v>4</v>
      </c>
      <c r="D278" t="s">
        <v>80</v>
      </c>
      <c r="H278">
        <v>11</v>
      </c>
    </row>
    <row r="279" spans="1:8" x14ac:dyDescent="0.3">
      <c r="A279" t="s">
        <v>25</v>
      </c>
      <c r="B279" s="2" t="s">
        <v>2</v>
      </c>
      <c r="D279" t="s">
        <v>8</v>
      </c>
      <c r="H279">
        <v>1</v>
      </c>
    </row>
    <row r="280" spans="1:8" x14ac:dyDescent="0.3">
      <c r="A280" t="s">
        <v>25</v>
      </c>
      <c r="B280" s="2" t="s">
        <v>4</v>
      </c>
      <c r="D280" t="s">
        <v>8</v>
      </c>
      <c r="H280">
        <v>3</v>
      </c>
    </row>
    <row r="281" spans="1:8" x14ac:dyDescent="0.3">
      <c r="A281" t="s">
        <v>25</v>
      </c>
      <c r="B281" s="2" t="s">
        <v>2</v>
      </c>
      <c r="D281" t="s">
        <v>76</v>
      </c>
      <c r="H281">
        <v>21</v>
      </c>
    </row>
    <row r="282" spans="1:8" x14ac:dyDescent="0.3">
      <c r="A282" t="s">
        <v>25</v>
      </c>
      <c r="B282" s="2" t="s">
        <v>4</v>
      </c>
      <c r="D282" t="s">
        <v>76</v>
      </c>
      <c r="H282">
        <v>3</v>
      </c>
    </row>
    <row r="283" spans="1:8" x14ac:dyDescent="0.3">
      <c r="A283" t="s">
        <v>25</v>
      </c>
      <c r="B283" s="2" t="s">
        <v>2</v>
      </c>
      <c r="D283" t="s">
        <v>10</v>
      </c>
      <c r="H283">
        <v>1</v>
      </c>
    </row>
    <row r="284" spans="1:8" x14ac:dyDescent="0.3">
      <c r="A284" t="s">
        <v>25</v>
      </c>
      <c r="B284" s="2" t="s">
        <v>2</v>
      </c>
      <c r="D284" t="s">
        <v>14</v>
      </c>
      <c r="H284">
        <v>93</v>
      </c>
    </row>
    <row r="285" spans="1:8" x14ac:dyDescent="0.3">
      <c r="A285" t="s">
        <v>25</v>
      </c>
      <c r="B285" s="2" t="s">
        <v>4</v>
      </c>
      <c r="D285" t="s">
        <v>14</v>
      </c>
      <c r="H285">
        <v>88</v>
      </c>
    </row>
    <row r="286" spans="1:8" x14ac:dyDescent="0.3">
      <c r="A286" t="s">
        <v>25</v>
      </c>
      <c r="B286" s="2" t="s">
        <v>2</v>
      </c>
      <c r="D286" t="s">
        <v>17</v>
      </c>
      <c r="H286">
        <v>3</v>
      </c>
    </row>
    <row r="287" spans="1:8" x14ac:dyDescent="0.3">
      <c r="A287" t="s">
        <v>25</v>
      </c>
      <c r="B287" s="2" t="s">
        <v>2</v>
      </c>
      <c r="D287" t="s">
        <v>6</v>
      </c>
      <c r="H287">
        <v>5</v>
      </c>
    </row>
    <row r="288" spans="1:8" x14ac:dyDescent="0.3">
      <c r="A288" t="s">
        <v>25</v>
      </c>
      <c r="B288" s="2" t="s">
        <v>4</v>
      </c>
      <c r="D288" t="s">
        <v>6</v>
      </c>
      <c r="H288">
        <v>2</v>
      </c>
    </row>
    <row r="289" spans="1:8" x14ac:dyDescent="0.3">
      <c r="A289" t="s">
        <v>25</v>
      </c>
      <c r="B289" s="2" t="s">
        <v>2</v>
      </c>
      <c r="D289" t="s">
        <v>16</v>
      </c>
      <c r="H289">
        <v>6</v>
      </c>
    </row>
    <row r="290" spans="1:8" x14ac:dyDescent="0.3">
      <c r="A290" t="s">
        <v>25</v>
      </c>
      <c r="B290" s="2" t="s">
        <v>4</v>
      </c>
      <c r="D290" t="s">
        <v>16</v>
      </c>
      <c r="H290">
        <v>3</v>
      </c>
    </row>
    <row r="291" spans="1:8" x14ac:dyDescent="0.3">
      <c r="A291" t="s">
        <v>25</v>
      </c>
      <c r="B291" s="2" t="s">
        <v>2</v>
      </c>
      <c r="E291" t="s">
        <v>21</v>
      </c>
      <c r="H291">
        <v>24</v>
      </c>
    </row>
    <row r="292" spans="1:8" x14ac:dyDescent="0.3">
      <c r="A292" t="s">
        <v>25</v>
      </c>
      <c r="B292" s="2" t="s">
        <v>4</v>
      </c>
      <c r="E292" t="s">
        <v>21</v>
      </c>
      <c r="H292">
        <v>21</v>
      </c>
    </row>
    <row r="293" spans="1:8" x14ac:dyDescent="0.3">
      <c r="A293" t="s">
        <v>25</v>
      </c>
      <c r="B293" s="2" t="s">
        <v>2</v>
      </c>
      <c r="E293" t="s">
        <v>91</v>
      </c>
      <c r="H293">
        <f>65+25</f>
        <v>90</v>
      </c>
    </row>
    <row r="294" spans="1:8" x14ac:dyDescent="0.3">
      <c r="A294" t="s">
        <v>25</v>
      </c>
      <c r="B294" s="2" t="s">
        <v>4</v>
      </c>
      <c r="E294" t="s">
        <v>91</v>
      </c>
      <c r="H294">
        <f>66+32</f>
        <v>98</v>
      </c>
    </row>
    <row r="295" spans="1:8" x14ac:dyDescent="0.3">
      <c r="A295" t="s">
        <v>25</v>
      </c>
      <c r="B295" s="2" t="s">
        <v>2</v>
      </c>
      <c r="E295" t="s">
        <v>90</v>
      </c>
      <c r="H295">
        <v>107</v>
      </c>
    </row>
    <row r="296" spans="1:8" x14ac:dyDescent="0.3">
      <c r="A296" t="s">
        <v>25</v>
      </c>
      <c r="B296" s="2" t="s">
        <v>4</v>
      </c>
      <c r="E296" t="s">
        <v>90</v>
      </c>
      <c r="H296">
        <v>98</v>
      </c>
    </row>
    <row r="297" spans="1:8" x14ac:dyDescent="0.3">
      <c r="A297" t="s">
        <v>25</v>
      </c>
      <c r="B297" s="2" t="s">
        <v>2</v>
      </c>
      <c r="E297" t="s">
        <v>89</v>
      </c>
      <c r="H297">
        <v>120</v>
      </c>
    </row>
    <row r="298" spans="1:8" x14ac:dyDescent="0.3">
      <c r="A298" t="s">
        <v>25</v>
      </c>
      <c r="B298" s="2" t="s">
        <v>4</v>
      </c>
      <c r="E298" t="s">
        <v>89</v>
      </c>
      <c r="H298">
        <v>68</v>
      </c>
    </row>
    <row r="299" spans="1:8" x14ac:dyDescent="0.3">
      <c r="A299" t="s">
        <v>25</v>
      </c>
      <c r="B299" s="2" t="s">
        <v>2</v>
      </c>
      <c r="E299" t="s">
        <v>60</v>
      </c>
      <c r="H299">
        <v>7</v>
      </c>
    </row>
    <row r="300" spans="1:8" x14ac:dyDescent="0.3">
      <c r="A300" t="s">
        <v>25</v>
      </c>
      <c r="B300" s="2" t="s">
        <v>4</v>
      </c>
      <c r="E300" t="s">
        <v>60</v>
      </c>
      <c r="H300">
        <v>6</v>
      </c>
    </row>
    <row r="301" spans="1:8" x14ac:dyDescent="0.3">
      <c r="A301" t="s">
        <v>25</v>
      </c>
      <c r="B301" s="2" t="s">
        <v>2</v>
      </c>
      <c r="E301" t="s">
        <v>61</v>
      </c>
      <c r="H301">
        <v>34</v>
      </c>
    </row>
    <row r="302" spans="1:8" x14ac:dyDescent="0.3">
      <c r="A302" t="s">
        <v>25</v>
      </c>
      <c r="B302" s="2" t="s">
        <v>4</v>
      </c>
      <c r="E302" t="s">
        <v>61</v>
      </c>
      <c r="H302">
        <v>20</v>
      </c>
    </row>
    <row r="303" spans="1:8" x14ac:dyDescent="0.3">
      <c r="A303" t="s">
        <v>25</v>
      </c>
      <c r="B303" s="2" t="s">
        <v>2</v>
      </c>
      <c r="E303" t="s">
        <v>92</v>
      </c>
      <c r="H303">
        <v>3</v>
      </c>
    </row>
    <row r="304" spans="1:8" x14ac:dyDescent="0.3">
      <c r="A304" t="s">
        <v>25</v>
      </c>
      <c r="B304" s="2" t="s">
        <v>4</v>
      </c>
      <c r="E304" t="s">
        <v>92</v>
      </c>
      <c r="H304">
        <v>2</v>
      </c>
    </row>
    <row r="305" spans="1:8" x14ac:dyDescent="0.3">
      <c r="A305" t="s">
        <v>25</v>
      </c>
      <c r="B305" s="2" t="s">
        <v>2</v>
      </c>
      <c r="E305" t="s">
        <v>62</v>
      </c>
      <c r="H305">
        <v>1</v>
      </c>
    </row>
    <row r="306" spans="1:8" x14ac:dyDescent="0.3">
      <c r="A306" t="s">
        <v>25</v>
      </c>
      <c r="B306" s="2" t="s">
        <v>4</v>
      </c>
      <c r="E306" t="s">
        <v>62</v>
      </c>
      <c r="H306">
        <v>3</v>
      </c>
    </row>
    <row r="307" spans="1:8" x14ac:dyDescent="0.3">
      <c r="A307" t="s">
        <v>25</v>
      </c>
      <c r="B307" s="2" t="s">
        <v>2</v>
      </c>
      <c r="F307" t="s">
        <v>64</v>
      </c>
      <c r="H307">
        <v>144</v>
      </c>
    </row>
    <row r="308" spans="1:8" x14ac:dyDescent="0.3">
      <c r="A308" t="s">
        <v>25</v>
      </c>
      <c r="B308" s="2" t="s">
        <v>4</v>
      </c>
      <c r="F308" t="s">
        <v>64</v>
      </c>
      <c r="H308">
        <v>96</v>
      </c>
    </row>
    <row r="309" spans="1:8" x14ac:dyDescent="0.3">
      <c r="A309" t="s">
        <v>25</v>
      </c>
      <c r="B309" s="2" t="s">
        <v>2</v>
      </c>
      <c r="F309" t="s">
        <v>18</v>
      </c>
      <c r="H309">
        <v>231</v>
      </c>
    </row>
    <row r="310" spans="1:8" x14ac:dyDescent="0.3">
      <c r="A310" t="s">
        <v>25</v>
      </c>
      <c r="B310" s="2" t="s">
        <v>4</v>
      </c>
      <c r="F310" t="s">
        <v>18</v>
      </c>
      <c r="H310">
        <v>213</v>
      </c>
    </row>
    <row r="311" spans="1:8" x14ac:dyDescent="0.3">
      <c r="A311" t="s">
        <v>25</v>
      </c>
      <c r="B311" s="2" t="s">
        <v>4</v>
      </c>
      <c r="F311" t="s">
        <v>19</v>
      </c>
      <c r="H311">
        <v>1</v>
      </c>
    </row>
    <row r="312" spans="1:8" x14ac:dyDescent="0.3">
      <c r="A312" t="s">
        <v>25</v>
      </c>
      <c r="B312" s="2" t="s">
        <v>4</v>
      </c>
      <c r="F312" t="s">
        <v>20</v>
      </c>
      <c r="H312">
        <v>2</v>
      </c>
    </row>
    <row r="313" spans="1:8" x14ac:dyDescent="0.3">
      <c r="A313" t="s">
        <v>25</v>
      </c>
      <c r="B313" s="2" t="s">
        <v>2</v>
      </c>
      <c r="F313" t="s">
        <v>65</v>
      </c>
      <c r="H313">
        <v>11</v>
      </c>
    </row>
    <row r="314" spans="1:8" x14ac:dyDescent="0.3">
      <c r="A314" t="s">
        <v>25</v>
      </c>
      <c r="B314" s="2" t="s">
        <v>4</v>
      </c>
      <c r="F314" t="s">
        <v>65</v>
      </c>
      <c r="H314">
        <v>4</v>
      </c>
    </row>
    <row r="315" spans="1:8" x14ac:dyDescent="0.3">
      <c r="A315" t="s">
        <v>25</v>
      </c>
      <c r="B315" s="2" t="s">
        <v>4</v>
      </c>
      <c r="G315" t="s">
        <v>68</v>
      </c>
      <c r="H315">
        <v>191</v>
      </c>
    </row>
    <row r="316" spans="1:8" x14ac:dyDescent="0.3">
      <c r="A316" t="s">
        <v>25</v>
      </c>
      <c r="B316" s="2" t="s">
        <v>2</v>
      </c>
      <c r="G316" t="s">
        <v>82</v>
      </c>
      <c r="H316">
        <v>1</v>
      </c>
    </row>
    <row r="317" spans="1:8" x14ac:dyDescent="0.3">
      <c r="A317" t="s">
        <v>25</v>
      </c>
      <c r="B317" s="2" t="s">
        <v>4</v>
      </c>
      <c r="G317" t="s">
        <v>82</v>
      </c>
      <c r="H317">
        <v>2</v>
      </c>
    </row>
    <row r="318" spans="1:8" x14ac:dyDescent="0.3">
      <c r="A318" t="s">
        <v>25</v>
      </c>
      <c r="B318" s="2" t="s">
        <v>2</v>
      </c>
      <c r="G318" t="s">
        <v>83</v>
      </c>
      <c r="H318">
        <v>149</v>
      </c>
    </row>
    <row r="319" spans="1:8" x14ac:dyDescent="0.3">
      <c r="A319" t="s">
        <v>25</v>
      </c>
      <c r="B319" s="2" t="s">
        <v>4</v>
      </c>
      <c r="G319" t="s">
        <v>83</v>
      </c>
      <c r="H319">
        <v>31</v>
      </c>
    </row>
    <row r="320" spans="1:8" x14ac:dyDescent="0.3">
      <c r="A320" t="s">
        <v>25</v>
      </c>
      <c r="B320" s="2" t="s">
        <v>2</v>
      </c>
      <c r="G320" t="s">
        <v>69</v>
      </c>
      <c r="H320">
        <v>109</v>
      </c>
    </row>
    <row r="321" spans="1:8" x14ac:dyDescent="0.3">
      <c r="A321" t="s">
        <v>25</v>
      </c>
      <c r="B321" s="2" t="s">
        <v>4</v>
      </c>
      <c r="G321" t="s">
        <v>69</v>
      </c>
      <c r="H321">
        <v>73</v>
      </c>
    </row>
    <row r="322" spans="1:8" x14ac:dyDescent="0.3">
      <c r="A322" t="s">
        <v>25</v>
      </c>
      <c r="B322" s="2" t="s">
        <v>2</v>
      </c>
      <c r="G322" t="s">
        <v>70</v>
      </c>
      <c r="H322">
        <v>81</v>
      </c>
    </row>
    <row r="323" spans="1:8" x14ac:dyDescent="0.3">
      <c r="A323" t="s">
        <v>25</v>
      </c>
      <c r="B323" s="2" t="s">
        <v>4</v>
      </c>
      <c r="G323" t="s">
        <v>70</v>
      </c>
      <c r="H323">
        <v>17</v>
      </c>
    </row>
    <row r="324" spans="1:8" x14ac:dyDescent="0.3">
      <c r="A324" t="s">
        <v>25</v>
      </c>
      <c r="B324" s="2" t="s">
        <v>2</v>
      </c>
      <c r="G324" t="s">
        <v>84</v>
      </c>
      <c r="H324">
        <v>41</v>
      </c>
    </row>
    <row r="325" spans="1:8" x14ac:dyDescent="0.3">
      <c r="A325" t="s">
        <v>25</v>
      </c>
      <c r="B325" s="2" t="s">
        <v>4</v>
      </c>
      <c r="G325" t="s">
        <v>84</v>
      </c>
      <c r="H325">
        <v>2</v>
      </c>
    </row>
    <row r="326" spans="1:8" x14ac:dyDescent="0.3">
      <c r="A326" t="s">
        <v>25</v>
      </c>
      <c r="B326" s="2" t="s">
        <v>2</v>
      </c>
      <c r="G326" t="s">
        <v>72</v>
      </c>
      <c r="H326">
        <v>5</v>
      </c>
    </row>
    <row r="327" spans="1:8" x14ac:dyDescent="0.3">
      <c r="A327" t="s">
        <v>26</v>
      </c>
      <c r="B327" s="2" t="s">
        <v>2</v>
      </c>
      <c r="C327" s="4" t="s">
        <v>13</v>
      </c>
      <c r="H327" s="3">
        <v>44</v>
      </c>
    </row>
    <row r="328" spans="1:8" x14ac:dyDescent="0.3">
      <c r="A328" t="s">
        <v>26</v>
      </c>
      <c r="B328" s="2" t="s">
        <v>4</v>
      </c>
      <c r="C328" s="4" t="s">
        <v>13</v>
      </c>
      <c r="H328" s="3">
        <v>25</v>
      </c>
    </row>
    <row r="329" spans="1:8" x14ac:dyDescent="0.3">
      <c r="A329" t="s">
        <v>26</v>
      </c>
      <c r="B329" s="2" t="s">
        <v>2</v>
      </c>
      <c r="C329" s="4" t="s">
        <v>104</v>
      </c>
      <c r="H329" s="3">
        <v>72</v>
      </c>
    </row>
    <row r="330" spans="1:8" x14ac:dyDescent="0.3">
      <c r="A330" t="s">
        <v>26</v>
      </c>
      <c r="B330" s="2" t="s">
        <v>4</v>
      </c>
      <c r="C330" s="4" t="s">
        <v>104</v>
      </c>
      <c r="H330" s="3">
        <v>142</v>
      </c>
    </row>
    <row r="331" spans="1:8" x14ac:dyDescent="0.3">
      <c r="A331" t="s">
        <v>26</v>
      </c>
      <c r="B331" s="2" t="s">
        <v>2</v>
      </c>
      <c r="C331" s="4" t="s">
        <v>7</v>
      </c>
      <c r="H331" s="3">
        <v>4585</v>
      </c>
    </row>
    <row r="332" spans="1:8" x14ac:dyDescent="0.3">
      <c r="A332" t="s">
        <v>26</v>
      </c>
      <c r="B332" s="2" t="s">
        <v>4</v>
      </c>
      <c r="C332" s="4" t="s">
        <v>7</v>
      </c>
      <c r="H332" s="3">
        <v>1421</v>
      </c>
    </row>
    <row r="333" spans="1:8" x14ac:dyDescent="0.3">
      <c r="A333" t="s">
        <v>26</v>
      </c>
      <c r="B333" s="2" t="s">
        <v>2</v>
      </c>
      <c r="C333" s="4" t="s">
        <v>103</v>
      </c>
      <c r="H333" s="3">
        <v>1129</v>
      </c>
    </row>
    <row r="334" spans="1:8" x14ac:dyDescent="0.3">
      <c r="A334" t="s">
        <v>26</v>
      </c>
      <c r="B334" s="2" t="s">
        <v>4</v>
      </c>
      <c r="C334" s="4" t="s">
        <v>103</v>
      </c>
      <c r="H334" s="3">
        <v>525</v>
      </c>
    </row>
    <row r="335" spans="1:8" x14ac:dyDescent="0.3">
      <c r="A335" t="s">
        <v>26</v>
      </c>
      <c r="B335" s="2" t="s">
        <v>2</v>
      </c>
      <c r="C335" s="4" t="s">
        <v>79</v>
      </c>
      <c r="H335" s="3">
        <v>45</v>
      </c>
    </row>
    <row r="336" spans="1:8" x14ac:dyDescent="0.3">
      <c r="A336" t="s">
        <v>26</v>
      </c>
      <c r="B336" s="2" t="s">
        <v>4</v>
      </c>
      <c r="C336" s="4" t="s">
        <v>79</v>
      </c>
      <c r="H336" s="3">
        <v>11</v>
      </c>
    </row>
    <row r="337" spans="1:8" x14ac:dyDescent="0.3">
      <c r="A337" t="s">
        <v>26</v>
      </c>
      <c r="B337" s="2" t="s">
        <v>2</v>
      </c>
      <c r="C337" s="4" t="s">
        <v>105</v>
      </c>
      <c r="H337" s="3">
        <v>102</v>
      </c>
    </row>
    <row r="338" spans="1:8" x14ac:dyDescent="0.3">
      <c r="A338" t="s">
        <v>26</v>
      </c>
      <c r="B338" s="2" t="s">
        <v>4</v>
      </c>
      <c r="C338" s="4" t="s">
        <v>105</v>
      </c>
      <c r="H338" s="3">
        <v>21</v>
      </c>
    </row>
    <row r="339" spans="1:8" x14ac:dyDescent="0.3">
      <c r="A339" t="s">
        <v>26</v>
      </c>
      <c r="B339" s="2" t="s">
        <v>2</v>
      </c>
      <c r="C339" s="4" t="s">
        <v>58</v>
      </c>
      <c r="H339" s="3">
        <v>11</v>
      </c>
    </row>
    <row r="340" spans="1:8" x14ac:dyDescent="0.3">
      <c r="A340" t="s">
        <v>26</v>
      </c>
      <c r="B340" s="2" t="s">
        <v>4</v>
      </c>
      <c r="C340" s="4" t="s">
        <v>58</v>
      </c>
      <c r="H340" s="3">
        <v>3</v>
      </c>
    </row>
    <row r="341" spans="1:8" x14ac:dyDescent="0.3">
      <c r="A341" t="s">
        <v>26</v>
      </c>
      <c r="B341" s="2" t="s">
        <v>2</v>
      </c>
      <c r="C341" s="4" t="s">
        <v>59</v>
      </c>
      <c r="H341" s="3">
        <v>172</v>
      </c>
    </row>
    <row r="342" spans="1:8" x14ac:dyDescent="0.3">
      <c r="A342" t="s">
        <v>26</v>
      </c>
      <c r="B342" s="2" t="s">
        <v>4</v>
      </c>
      <c r="C342" s="4" t="s">
        <v>59</v>
      </c>
      <c r="H342" s="3">
        <v>138</v>
      </c>
    </row>
    <row r="343" spans="1:8" x14ac:dyDescent="0.3">
      <c r="A343" t="s">
        <v>26</v>
      </c>
      <c r="B343" s="2" t="s">
        <v>2</v>
      </c>
      <c r="D343" t="s">
        <v>81</v>
      </c>
      <c r="H343">
        <v>143</v>
      </c>
    </row>
    <row r="344" spans="1:8" x14ac:dyDescent="0.3">
      <c r="A344" t="s">
        <v>26</v>
      </c>
      <c r="B344" s="2" t="s">
        <v>4</v>
      </c>
      <c r="D344" t="s">
        <v>81</v>
      </c>
      <c r="H344">
        <v>87</v>
      </c>
    </row>
    <row r="345" spans="1:8" x14ac:dyDescent="0.3">
      <c r="A345" t="s">
        <v>26</v>
      </c>
      <c r="B345" s="2" t="s">
        <v>4</v>
      </c>
      <c r="D345" t="s">
        <v>73</v>
      </c>
      <c r="H345">
        <v>62</v>
      </c>
    </row>
    <row r="346" spans="1:8" x14ac:dyDescent="0.3">
      <c r="A346" t="s">
        <v>26</v>
      </c>
      <c r="B346" s="2" t="s">
        <v>2</v>
      </c>
      <c r="D346" t="s">
        <v>74</v>
      </c>
      <c r="H346">
        <v>14</v>
      </c>
    </row>
    <row r="347" spans="1:8" x14ac:dyDescent="0.3">
      <c r="A347" t="s">
        <v>26</v>
      </c>
      <c r="B347" s="2" t="s">
        <v>4</v>
      </c>
      <c r="D347" t="s">
        <v>74</v>
      </c>
      <c r="H347">
        <v>2</v>
      </c>
    </row>
    <row r="348" spans="1:8" x14ac:dyDescent="0.3">
      <c r="A348" t="s">
        <v>26</v>
      </c>
      <c r="B348" s="2" t="s">
        <v>2</v>
      </c>
      <c r="D348" t="s">
        <v>3</v>
      </c>
      <c r="H348">
        <v>3</v>
      </c>
    </row>
    <row r="349" spans="1:8" x14ac:dyDescent="0.3">
      <c r="A349" t="s">
        <v>26</v>
      </c>
      <c r="B349" s="2" t="s">
        <v>4</v>
      </c>
      <c r="D349" t="s">
        <v>3</v>
      </c>
      <c r="H349">
        <v>3</v>
      </c>
    </row>
    <row r="350" spans="1:8" x14ac:dyDescent="0.3">
      <c r="A350" t="s">
        <v>26</v>
      </c>
      <c r="B350" s="2" t="s">
        <v>2</v>
      </c>
      <c r="D350" t="s">
        <v>9</v>
      </c>
      <c r="H350">
        <v>37</v>
      </c>
    </row>
    <row r="351" spans="1:8" x14ac:dyDescent="0.3">
      <c r="A351" t="s">
        <v>26</v>
      </c>
      <c r="B351" s="2" t="s">
        <v>4</v>
      </c>
      <c r="D351" t="s">
        <v>9</v>
      </c>
      <c r="H351">
        <v>38</v>
      </c>
    </row>
    <row r="352" spans="1:8" x14ac:dyDescent="0.3">
      <c r="A352" t="s">
        <v>26</v>
      </c>
      <c r="B352" s="2" t="s">
        <v>2</v>
      </c>
      <c r="D352" t="s">
        <v>75</v>
      </c>
      <c r="H352">
        <v>6</v>
      </c>
    </row>
    <row r="353" spans="1:8" x14ac:dyDescent="0.3">
      <c r="A353" t="s">
        <v>26</v>
      </c>
      <c r="B353" s="2" t="s">
        <v>4</v>
      </c>
      <c r="D353" t="s">
        <v>75</v>
      </c>
      <c r="H353">
        <v>17</v>
      </c>
    </row>
    <row r="354" spans="1:8" x14ac:dyDescent="0.3">
      <c r="A354" t="s">
        <v>26</v>
      </c>
      <c r="B354" s="2" t="s">
        <v>2</v>
      </c>
      <c r="D354" t="s">
        <v>11</v>
      </c>
      <c r="H354">
        <v>1304</v>
      </c>
    </row>
    <row r="355" spans="1:8" x14ac:dyDescent="0.3">
      <c r="A355" t="s">
        <v>26</v>
      </c>
      <c r="B355" s="2" t="s">
        <v>4</v>
      </c>
      <c r="D355" t="s">
        <v>11</v>
      </c>
      <c r="H355">
        <v>468</v>
      </c>
    </row>
    <row r="356" spans="1:8" x14ac:dyDescent="0.3">
      <c r="A356" t="s">
        <v>26</v>
      </c>
      <c r="B356" s="2" t="s">
        <v>2</v>
      </c>
      <c r="D356" t="s">
        <v>80</v>
      </c>
      <c r="H356">
        <v>1120</v>
      </c>
    </row>
    <row r="357" spans="1:8" x14ac:dyDescent="0.3">
      <c r="A357" t="s">
        <v>26</v>
      </c>
      <c r="B357" s="2" t="s">
        <v>4</v>
      </c>
      <c r="D357" t="s">
        <v>80</v>
      </c>
      <c r="H357">
        <v>392</v>
      </c>
    </row>
    <row r="358" spans="1:8" x14ac:dyDescent="0.3">
      <c r="A358" t="s">
        <v>26</v>
      </c>
      <c r="B358" s="2" t="s">
        <v>2</v>
      </c>
      <c r="D358" t="s">
        <v>8</v>
      </c>
      <c r="H358">
        <v>43</v>
      </c>
    </row>
    <row r="359" spans="1:8" x14ac:dyDescent="0.3">
      <c r="A359" t="s">
        <v>26</v>
      </c>
      <c r="B359" s="2" t="s">
        <v>4</v>
      </c>
      <c r="D359" t="s">
        <v>8</v>
      </c>
      <c r="H359">
        <v>37</v>
      </c>
    </row>
    <row r="360" spans="1:8" x14ac:dyDescent="0.3">
      <c r="A360" t="s">
        <v>26</v>
      </c>
      <c r="B360" s="2" t="s">
        <v>2</v>
      </c>
      <c r="D360" t="s">
        <v>76</v>
      </c>
      <c r="H360">
        <v>595</v>
      </c>
    </row>
    <row r="361" spans="1:8" x14ac:dyDescent="0.3">
      <c r="A361" t="s">
        <v>26</v>
      </c>
      <c r="B361" s="2" t="s">
        <v>4</v>
      </c>
      <c r="D361" t="s">
        <v>76</v>
      </c>
      <c r="H361">
        <v>29</v>
      </c>
    </row>
    <row r="362" spans="1:8" x14ac:dyDescent="0.3">
      <c r="A362" t="s">
        <v>26</v>
      </c>
      <c r="B362" s="2" t="s">
        <v>2</v>
      </c>
      <c r="D362" t="s">
        <v>10</v>
      </c>
      <c r="H362">
        <v>8</v>
      </c>
    </row>
    <row r="363" spans="1:8" x14ac:dyDescent="0.3">
      <c r="A363" t="s">
        <v>26</v>
      </c>
      <c r="B363" s="2" t="s">
        <v>4</v>
      </c>
      <c r="D363" t="s">
        <v>10</v>
      </c>
      <c r="H363">
        <v>8</v>
      </c>
    </row>
    <row r="364" spans="1:8" x14ac:dyDescent="0.3">
      <c r="A364" t="s">
        <v>26</v>
      </c>
      <c r="B364" s="2" t="s">
        <v>4</v>
      </c>
      <c r="D364" t="s">
        <v>5</v>
      </c>
      <c r="H364">
        <v>1</v>
      </c>
    </row>
    <row r="365" spans="1:8" x14ac:dyDescent="0.3">
      <c r="A365" t="s">
        <v>26</v>
      </c>
      <c r="B365" s="2" t="s">
        <v>2</v>
      </c>
      <c r="D365" t="s">
        <v>14</v>
      </c>
      <c r="H365">
        <v>227</v>
      </c>
    </row>
    <row r="366" spans="1:8" x14ac:dyDescent="0.3">
      <c r="A366" t="s">
        <v>26</v>
      </c>
      <c r="B366" s="2" t="s">
        <v>4</v>
      </c>
      <c r="D366" t="s">
        <v>14</v>
      </c>
      <c r="H366">
        <v>117</v>
      </c>
    </row>
    <row r="367" spans="1:8" x14ac:dyDescent="0.3">
      <c r="A367" t="s">
        <v>26</v>
      </c>
      <c r="B367" s="2" t="s">
        <v>2</v>
      </c>
      <c r="D367" t="s">
        <v>15</v>
      </c>
      <c r="H367">
        <v>26</v>
      </c>
    </row>
    <row r="368" spans="1:8" x14ac:dyDescent="0.3">
      <c r="A368" t="s">
        <v>26</v>
      </c>
      <c r="B368" s="2" t="s">
        <v>4</v>
      </c>
      <c r="D368" t="s">
        <v>15</v>
      </c>
      <c r="H368">
        <v>4</v>
      </c>
    </row>
    <row r="369" spans="1:8" x14ac:dyDescent="0.3">
      <c r="A369" t="s">
        <v>26</v>
      </c>
      <c r="B369" s="2" t="s">
        <v>2</v>
      </c>
      <c r="D369" t="s">
        <v>17</v>
      </c>
      <c r="H369">
        <v>54</v>
      </c>
    </row>
    <row r="370" spans="1:8" x14ac:dyDescent="0.3">
      <c r="A370" t="s">
        <v>26</v>
      </c>
      <c r="B370" s="2" t="s">
        <v>4</v>
      </c>
      <c r="D370" t="s">
        <v>17</v>
      </c>
      <c r="H370">
        <v>1</v>
      </c>
    </row>
    <row r="371" spans="1:8" x14ac:dyDescent="0.3">
      <c r="A371" t="s">
        <v>26</v>
      </c>
      <c r="B371" s="2" t="s">
        <v>2</v>
      </c>
      <c r="D371" t="s">
        <v>6</v>
      </c>
      <c r="H371">
        <v>7</v>
      </c>
    </row>
    <row r="372" spans="1:8" x14ac:dyDescent="0.3">
      <c r="A372" t="s">
        <v>26</v>
      </c>
      <c r="B372" s="2" t="s">
        <v>4</v>
      </c>
      <c r="D372" t="s">
        <v>12</v>
      </c>
      <c r="H372">
        <v>3</v>
      </c>
    </row>
    <row r="373" spans="1:8" x14ac:dyDescent="0.3">
      <c r="A373" t="s">
        <v>26</v>
      </c>
      <c r="B373" s="2" t="s">
        <v>4</v>
      </c>
      <c r="D373" t="s">
        <v>77</v>
      </c>
      <c r="H373">
        <v>4</v>
      </c>
    </row>
    <row r="374" spans="1:8" x14ac:dyDescent="0.3">
      <c r="A374" t="s">
        <v>26</v>
      </c>
      <c r="B374" s="2" t="s">
        <v>2</v>
      </c>
      <c r="D374" t="s">
        <v>16</v>
      </c>
      <c r="H374">
        <v>46</v>
      </c>
    </row>
    <row r="375" spans="1:8" x14ac:dyDescent="0.3">
      <c r="A375" t="s">
        <v>26</v>
      </c>
      <c r="B375" s="2" t="s">
        <v>4</v>
      </c>
      <c r="D375" t="s">
        <v>16</v>
      </c>
      <c r="H375">
        <v>7</v>
      </c>
    </row>
    <row r="376" spans="1:8" x14ac:dyDescent="0.3">
      <c r="A376" t="s">
        <v>26</v>
      </c>
      <c r="B376" s="2" t="s">
        <v>2</v>
      </c>
      <c r="D376" t="s">
        <v>78</v>
      </c>
      <c r="H376">
        <f>1509+1018</f>
        <v>2527</v>
      </c>
    </row>
    <row r="377" spans="1:8" x14ac:dyDescent="0.3">
      <c r="A377" t="s">
        <v>26</v>
      </c>
      <c r="B377" s="2" t="s">
        <v>4</v>
      </c>
      <c r="D377" t="s">
        <v>78</v>
      </c>
      <c r="H377">
        <f>666+340</f>
        <v>1006</v>
      </c>
    </row>
    <row r="378" spans="1:8" x14ac:dyDescent="0.3">
      <c r="A378" t="s">
        <v>26</v>
      </c>
      <c r="B378" s="2" t="s">
        <v>2</v>
      </c>
      <c r="E378" t="s">
        <v>21</v>
      </c>
      <c r="H378">
        <v>774</v>
      </c>
    </row>
    <row r="379" spans="1:8" x14ac:dyDescent="0.3">
      <c r="A379" t="s">
        <v>26</v>
      </c>
      <c r="B379" s="2" t="s">
        <v>4</v>
      </c>
      <c r="E379" t="s">
        <v>21</v>
      </c>
      <c r="H379">
        <v>419</v>
      </c>
    </row>
    <row r="380" spans="1:8" x14ac:dyDescent="0.3">
      <c r="A380" t="s">
        <v>26</v>
      </c>
      <c r="B380" s="2" t="s">
        <v>2</v>
      </c>
      <c r="E380" t="s">
        <v>91</v>
      </c>
      <c r="H380">
        <f>1408+1128</f>
        <v>2536</v>
      </c>
    </row>
    <row r="381" spans="1:8" x14ac:dyDescent="0.3">
      <c r="A381" t="s">
        <v>26</v>
      </c>
      <c r="B381" s="2" t="s">
        <v>4</v>
      </c>
      <c r="E381" t="s">
        <v>91</v>
      </c>
      <c r="H381">
        <f>384+354</f>
        <v>738</v>
      </c>
    </row>
    <row r="382" spans="1:8" x14ac:dyDescent="0.3">
      <c r="A382" t="s">
        <v>26</v>
      </c>
      <c r="B382" s="2" t="s">
        <v>2</v>
      </c>
      <c r="E382" t="s">
        <v>90</v>
      </c>
      <c r="H382">
        <v>1206</v>
      </c>
    </row>
    <row r="383" spans="1:8" x14ac:dyDescent="0.3">
      <c r="A383" t="s">
        <v>26</v>
      </c>
      <c r="B383" s="2" t="s">
        <v>4</v>
      </c>
      <c r="E383" t="s">
        <v>90</v>
      </c>
      <c r="H383">
        <v>387</v>
      </c>
    </row>
    <row r="384" spans="1:8" x14ac:dyDescent="0.3">
      <c r="A384" t="s">
        <v>26</v>
      </c>
      <c r="B384" s="2" t="s">
        <v>2</v>
      </c>
      <c r="E384" t="s">
        <v>89</v>
      </c>
      <c r="H384">
        <v>597</v>
      </c>
    </row>
    <row r="385" spans="1:8" x14ac:dyDescent="0.3">
      <c r="A385" t="s">
        <v>26</v>
      </c>
      <c r="B385" s="2" t="s">
        <v>4</v>
      </c>
      <c r="E385" t="s">
        <v>89</v>
      </c>
      <c r="H385">
        <v>213</v>
      </c>
    </row>
    <row r="386" spans="1:8" x14ac:dyDescent="0.3">
      <c r="A386" t="s">
        <v>26</v>
      </c>
      <c r="B386" s="2" t="s">
        <v>2</v>
      </c>
      <c r="E386" t="s">
        <v>60</v>
      </c>
      <c r="H386">
        <v>22</v>
      </c>
    </row>
    <row r="387" spans="1:8" x14ac:dyDescent="0.3">
      <c r="A387" t="s">
        <v>26</v>
      </c>
      <c r="B387" s="2" t="s">
        <v>4</v>
      </c>
      <c r="E387" t="s">
        <v>60</v>
      </c>
      <c r="H387">
        <v>7</v>
      </c>
    </row>
    <row r="388" spans="1:8" x14ac:dyDescent="0.3">
      <c r="A388" t="s">
        <v>26</v>
      </c>
      <c r="B388" s="2" t="s">
        <v>2</v>
      </c>
      <c r="E388" t="s">
        <v>61</v>
      </c>
      <c r="H388">
        <v>152</v>
      </c>
    </row>
    <row r="389" spans="1:8" x14ac:dyDescent="0.3">
      <c r="A389" t="s">
        <v>26</v>
      </c>
      <c r="B389" s="2" t="s">
        <v>4</v>
      </c>
      <c r="E389" t="s">
        <v>61</v>
      </c>
      <c r="H389">
        <v>48</v>
      </c>
    </row>
    <row r="390" spans="1:8" x14ac:dyDescent="0.3">
      <c r="A390" t="s">
        <v>26</v>
      </c>
      <c r="B390" s="2" t="s">
        <v>2</v>
      </c>
      <c r="E390" t="s">
        <v>92</v>
      </c>
      <c r="H390">
        <v>1</v>
      </c>
    </row>
    <row r="391" spans="1:8" x14ac:dyDescent="0.3">
      <c r="A391" t="s">
        <v>26</v>
      </c>
      <c r="B391" s="2" t="s">
        <v>2</v>
      </c>
      <c r="E391" t="s">
        <v>62</v>
      </c>
      <c r="H391">
        <v>872</v>
      </c>
    </row>
    <row r="392" spans="1:8" x14ac:dyDescent="0.3">
      <c r="A392" t="s">
        <v>26</v>
      </c>
      <c r="B392" s="2" t="s">
        <v>4</v>
      </c>
      <c r="E392" t="s">
        <v>62</v>
      </c>
      <c r="H392">
        <v>474</v>
      </c>
    </row>
    <row r="393" spans="1:8" x14ac:dyDescent="0.3">
      <c r="A393" t="s">
        <v>26</v>
      </c>
      <c r="B393" s="2" t="s">
        <v>2</v>
      </c>
      <c r="F393" t="s">
        <v>64</v>
      </c>
      <c r="H393">
        <v>1500</v>
      </c>
    </row>
    <row r="394" spans="1:8" x14ac:dyDescent="0.3">
      <c r="A394" t="s">
        <v>26</v>
      </c>
      <c r="B394" s="2" t="s">
        <v>4</v>
      </c>
      <c r="F394" t="s">
        <v>64</v>
      </c>
      <c r="H394">
        <v>726</v>
      </c>
    </row>
    <row r="395" spans="1:8" x14ac:dyDescent="0.3">
      <c r="A395" t="s">
        <v>26</v>
      </c>
      <c r="B395" s="2" t="s">
        <v>2</v>
      </c>
      <c r="F395" t="s">
        <v>18</v>
      </c>
      <c r="H395">
        <v>3953</v>
      </c>
    </row>
    <row r="396" spans="1:8" x14ac:dyDescent="0.3">
      <c r="A396" t="s">
        <v>26</v>
      </c>
      <c r="B396" s="2" t="s">
        <v>4</v>
      </c>
      <c r="F396" t="s">
        <v>18</v>
      </c>
      <c r="H396">
        <v>1260</v>
      </c>
    </row>
    <row r="397" spans="1:8" x14ac:dyDescent="0.3">
      <c r="A397" t="s">
        <v>26</v>
      </c>
      <c r="B397" s="2" t="s">
        <v>2</v>
      </c>
      <c r="F397" t="s">
        <v>19</v>
      </c>
      <c r="H397">
        <v>184</v>
      </c>
    </row>
    <row r="398" spans="1:8" x14ac:dyDescent="0.3">
      <c r="A398" t="s">
        <v>26</v>
      </c>
      <c r="B398" s="2" t="s">
        <v>4</v>
      </c>
      <c r="F398" t="s">
        <v>19</v>
      </c>
      <c r="H398">
        <v>75</v>
      </c>
    </row>
    <row r="399" spans="1:8" x14ac:dyDescent="0.3">
      <c r="A399" t="s">
        <v>26</v>
      </c>
      <c r="B399" s="2" t="s">
        <v>2</v>
      </c>
      <c r="F399" t="s">
        <v>20</v>
      </c>
      <c r="H399">
        <v>17</v>
      </c>
    </row>
    <row r="400" spans="1:8" x14ac:dyDescent="0.3">
      <c r="A400" t="s">
        <v>26</v>
      </c>
      <c r="B400" s="2" t="s">
        <v>4</v>
      </c>
      <c r="F400" t="s">
        <v>20</v>
      </c>
      <c r="H400">
        <v>5</v>
      </c>
    </row>
    <row r="401" spans="1:8" x14ac:dyDescent="0.3">
      <c r="A401" t="s">
        <v>26</v>
      </c>
      <c r="B401" s="2" t="s">
        <v>2</v>
      </c>
      <c r="F401" t="s">
        <v>65</v>
      </c>
      <c r="H401">
        <v>23</v>
      </c>
    </row>
    <row r="402" spans="1:8" x14ac:dyDescent="0.3">
      <c r="A402" t="s">
        <v>26</v>
      </c>
      <c r="B402" s="2" t="s">
        <v>4</v>
      </c>
      <c r="F402" t="s">
        <v>65</v>
      </c>
      <c r="H402">
        <v>20</v>
      </c>
    </row>
    <row r="403" spans="1:8" x14ac:dyDescent="0.3">
      <c r="A403" t="s">
        <v>26</v>
      </c>
      <c r="B403" s="2" t="s">
        <v>2</v>
      </c>
      <c r="F403" t="s">
        <v>66</v>
      </c>
      <c r="H403">
        <f>142+341</f>
        <v>483</v>
      </c>
    </row>
    <row r="404" spans="1:8" x14ac:dyDescent="0.3">
      <c r="A404" t="s">
        <v>26</v>
      </c>
      <c r="B404" s="2" t="s">
        <v>4</v>
      </c>
      <c r="F404" t="s">
        <v>66</v>
      </c>
      <c r="H404">
        <v>200</v>
      </c>
    </row>
    <row r="405" spans="1:8" x14ac:dyDescent="0.3">
      <c r="A405" t="s">
        <v>26</v>
      </c>
      <c r="B405" s="2" t="s">
        <v>4</v>
      </c>
      <c r="G405" t="s">
        <v>68</v>
      </c>
      <c r="H405">
        <v>835</v>
      </c>
    </row>
    <row r="406" spans="1:8" x14ac:dyDescent="0.3">
      <c r="A406" t="s">
        <v>26</v>
      </c>
      <c r="B406" s="2" t="s">
        <v>2</v>
      </c>
      <c r="G406" t="s">
        <v>82</v>
      </c>
      <c r="H406">
        <v>79</v>
      </c>
    </row>
    <row r="407" spans="1:8" x14ac:dyDescent="0.3">
      <c r="A407" t="s">
        <v>26</v>
      </c>
      <c r="B407" s="2" t="s">
        <v>4</v>
      </c>
      <c r="G407" t="s">
        <v>82</v>
      </c>
      <c r="H407">
        <v>5</v>
      </c>
    </row>
    <row r="408" spans="1:8" x14ac:dyDescent="0.3">
      <c r="A408" t="s">
        <v>26</v>
      </c>
      <c r="B408" s="2" t="s">
        <v>2</v>
      </c>
      <c r="G408" t="s">
        <v>83</v>
      </c>
      <c r="H408">
        <v>44</v>
      </c>
    </row>
    <row r="409" spans="1:8" x14ac:dyDescent="0.3">
      <c r="A409" t="s">
        <v>26</v>
      </c>
      <c r="B409" s="2" t="s">
        <v>4</v>
      </c>
      <c r="G409" t="s">
        <v>83</v>
      </c>
      <c r="H409">
        <v>2</v>
      </c>
    </row>
    <row r="410" spans="1:8" x14ac:dyDescent="0.3">
      <c r="A410" t="s">
        <v>26</v>
      </c>
      <c r="B410" s="2" t="s">
        <v>2</v>
      </c>
      <c r="G410" t="s">
        <v>69</v>
      </c>
      <c r="H410">
        <v>300</v>
      </c>
    </row>
    <row r="411" spans="1:8" x14ac:dyDescent="0.3">
      <c r="A411" t="s">
        <v>26</v>
      </c>
      <c r="B411" s="2" t="s">
        <v>4</v>
      </c>
      <c r="G411" t="s">
        <v>69</v>
      </c>
      <c r="H411">
        <v>393</v>
      </c>
    </row>
    <row r="412" spans="1:8" x14ac:dyDescent="0.3">
      <c r="A412" t="s">
        <v>26</v>
      </c>
      <c r="B412" s="2" t="s">
        <v>2</v>
      </c>
      <c r="G412" t="s">
        <v>70</v>
      </c>
      <c r="H412">
        <v>294</v>
      </c>
    </row>
    <row r="413" spans="1:8" x14ac:dyDescent="0.3">
      <c r="A413" t="s">
        <v>26</v>
      </c>
      <c r="B413" s="2" t="s">
        <v>4</v>
      </c>
      <c r="G413" t="s">
        <v>70</v>
      </c>
      <c r="H413">
        <v>36</v>
      </c>
    </row>
    <row r="414" spans="1:8" x14ac:dyDescent="0.3">
      <c r="A414" t="s">
        <v>26</v>
      </c>
      <c r="B414" s="2" t="s">
        <v>2</v>
      </c>
      <c r="G414" t="s">
        <v>84</v>
      </c>
      <c r="H414">
        <v>290</v>
      </c>
    </row>
    <row r="415" spans="1:8" x14ac:dyDescent="0.3">
      <c r="A415" t="s">
        <v>26</v>
      </c>
      <c r="B415" s="2" t="s">
        <v>4</v>
      </c>
      <c r="G415" t="s">
        <v>84</v>
      </c>
      <c r="H415">
        <v>8</v>
      </c>
    </row>
    <row r="416" spans="1:8" x14ac:dyDescent="0.3">
      <c r="A416" t="s">
        <v>26</v>
      </c>
      <c r="B416" s="2" t="s">
        <v>2</v>
      </c>
      <c r="G416" t="s">
        <v>85</v>
      </c>
      <c r="H416">
        <v>433</v>
      </c>
    </row>
    <row r="417" spans="1:8" x14ac:dyDescent="0.3">
      <c r="A417" t="s">
        <v>26</v>
      </c>
      <c r="B417" s="2" t="s">
        <v>4</v>
      </c>
      <c r="G417" t="s">
        <v>85</v>
      </c>
      <c r="H417">
        <v>63</v>
      </c>
    </row>
    <row r="418" spans="1:8" x14ac:dyDescent="0.3">
      <c r="A418" t="s">
        <v>26</v>
      </c>
      <c r="B418" s="2" t="s">
        <v>2</v>
      </c>
      <c r="G418" t="s">
        <v>71</v>
      </c>
      <c r="H418">
        <v>2271</v>
      </c>
    </row>
    <row r="419" spans="1:8" x14ac:dyDescent="0.3">
      <c r="A419" t="s">
        <v>26</v>
      </c>
      <c r="B419" s="2" t="s">
        <v>4</v>
      </c>
      <c r="G419" t="s">
        <v>71</v>
      </c>
      <c r="H419">
        <v>286</v>
      </c>
    </row>
    <row r="420" spans="1:8" x14ac:dyDescent="0.3">
      <c r="A420" t="s">
        <v>26</v>
      </c>
      <c r="B420" s="2" t="s">
        <v>2</v>
      </c>
      <c r="G420" t="s">
        <v>72</v>
      </c>
      <c r="H420">
        <v>2449</v>
      </c>
    </row>
    <row r="421" spans="1:8" x14ac:dyDescent="0.3">
      <c r="A421" t="s">
        <v>26</v>
      </c>
      <c r="B421" s="2" t="s">
        <v>4</v>
      </c>
      <c r="G421" t="s">
        <v>72</v>
      </c>
      <c r="H421">
        <v>658</v>
      </c>
    </row>
    <row r="422" spans="1:8" x14ac:dyDescent="0.3">
      <c r="A422" t="s">
        <v>27</v>
      </c>
      <c r="B422" s="2" t="s">
        <v>2</v>
      </c>
      <c r="C422" s="4" t="s">
        <v>13</v>
      </c>
      <c r="H422" s="3">
        <v>20</v>
      </c>
    </row>
    <row r="423" spans="1:8" x14ac:dyDescent="0.3">
      <c r="A423" t="s">
        <v>27</v>
      </c>
      <c r="B423" s="2" t="s">
        <v>4</v>
      </c>
      <c r="C423" s="4" t="s">
        <v>13</v>
      </c>
      <c r="H423" s="3">
        <v>8</v>
      </c>
    </row>
    <row r="424" spans="1:8" x14ac:dyDescent="0.3">
      <c r="A424" t="s">
        <v>27</v>
      </c>
      <c r="B424" s="2" t="s">
        <v>2</v>
      </c>
      <c r="C424" s="4" t="s">
        <v>104</v>
      </c>
      <c r="H424" s="3">
        <v>2</v>
      </c>
    </row>
    <row r="425" spans="1:8" x14ac:dyDescent="0.3">
      <c r="A425" t="s">
        <v>27</v>
      </c>
      <c r="B425" s="2" t="s">
        <v>4</v>
      </c>
      <c r="C425" s="4" t="s">
        <v>104</v>
      </c>
      <c r="H425" s="3">
        <v>2</v>
      </c>
    </row>
    <row r="426" spans="1:8" x14ac:dyDescent="0.3">
      <c r="A426" t="s">
        <v>27</v>
      </c>
      <c r="B426" s="2" t="s">
        <v>2</v>
      </c>
      <c r="C426" s="4" t="s">
        <v>7</v>
      </c>
      <c r="H426" s="3">
        <v>178</v>
      </c>
    </row>
    <row r="427" spans="1:8" x14ac:dyDescent="0.3">
      <c r="A427" t="s">
        <v>27</v>
      </c>
      <c r="B427" s="2" t="s">
        <v>4</v>
      </c>
      <c r="C427" s="4" t="s">
        <v>7</v>
      </c>
      <c r="H427" s="3">
        <v>51</v>
      </c>
    </row>
    <row r="428" spans="1:8" x14ac:dyDescent="0.3">
      <c r="A428" t="s">
        <v>27</v>
      </c>
      <c r="B428" s="2" t="s">
        <v>2</v>
      </c>
      <c r="C428" s="4" t="s">
        <v>103</v>
      </c>
      <c r="H428" s="3">
        <v>19</v>
      </c>
    </row>
    <row r="429" spans="1:8" x14ac:dyDescent="0.3">
      <c r="A429" t="s">
        <v>27</v>
      </c>
      <c r="B429" s="2" t="s">
        <v>4</v>
      </c>
      <c r="C429" s="4" t="s">
        <v>103</v>
      </c>
      <c r="H429" s="3">
        <v>8</v>
      </c>
    </row>
    <row r="430" spans="1:8" x14ac:dyDescent="0.3">
      <c r="A430" t="s">
        <v>27</v>
      </c>
      <c r="B430" s="2" t="s">
        <v>2</v>
      </c>
      <c r="C430" s="4" t="s">
        <v>79</v>
      </c>
      <c r="H430" s="3">
        <v>2</v>
      </c>
    </row>
    <row r="431" spans="1:8" x14ac:dyDescent="0.3">
      <c r="A431" t="s">
        <v>27</v>
      </c>
      <c r="B431" s="2" t="s">
        <v>4</v>
      </c>
      <c r="C431" s="4" t="s">
        <v>79</v>
      </c>
      <c r="H431" s="3">
        <v>1</v>
      </c>
    </row>
    <row r="432" spans="1:8" x14ac:dyDescent="0.3">
      <c r="A432" t="s">
        <v>27</v>
      </c>
      <c r="B432" s="2" t="s">
        <v>2</v>
      </c>
      <c r="C432" s="4" t="s">
        <v>105</v>
      </c>
      <c r="H432" s="3">
        <v>10</v>
      </c>
    </row>
    <row r="433" spans="1:8" x14ac:dyDescent="0.3">
      <c r="A433" t="s">
        <v>27</v>
      </c>
      <c r="B433" s="2" t="s">
        <v>2</v>
      </c>
      <c r="C433" s="4" t="s">
        <v>59</v>
      </c>
      <c r="H433" s="3">
        <v>1</v>
      </c>
    </row>
    <row r="434" spans="1:8" x14ac:dyDescent="0.3">
      <c r="A434" t="s">
        <v>27</v>
      </c>
      <c r="B434" s="2" t="s">
        <v>4</v>
      </c>
      <c r="D434" t="s">
        <v>16</v>
      </c>
      <c r="H434">
        <v>3</v>
      </c>
    </row>
    <row r="435" spans="1:8" x14ac:dyDescent="0.3">
      <c r="A435" t="s">
        <v>27</v>
      </c>
      <c r="B435" s="2" t="s">
        <v>2</v>
      </c>
      <c r="D435" t="s">
        <v>81</v>
      </c>
      <c r="H435">
        <v>1</v>
      </c>
    </row>
    <row r="436" spans="1:8" x14ac:dyDescent="0.3">
      <c r="A436" t="s">
        <v>27</v>
      </c>
      <c r="B436" s="2" t="s">
        <v>4</v>
      </c>
      <c r="D436" t="s">
        <v>81</v>
      </c>
      <c r="H436">
        <v>1</v>
      </c>
    </row>
    <row r="437" spans="1:8" x14ac:dyDescent="0.3">
      <c r="A437" t="s">
        <v>27</v>
      </c>
      <c r="B437" s="2" t="s">
        <v>2</v>
      </c>
      <c r="D437" t="s">
        <v>74</v>
      </c>
      <c r="H437">
        <v>2</v>
      </c>
    </row>
    <row r="438" spans="1:8" x14ac:dyDescent="0.3">
      <c r="A438" t="s">
        <v>27</v>
      </c>
      <c r="B438" s="2" t="s">
        <v>4</v>
      </c>
      <c r="D438" t="s">
        <v>74</v>
      </c>
      <c r="H438">
        <v>3</v>
      </c>
    </row>
    <row r="439" spans="1:8" x14ac:dyDescent="0.3">
      <c r="A439" t="s">
        <v>27</v>
      </c>
      <c r="B439" s="2" t="s">
        <v>2</v>
      </c>
      <c r="D439" t="s">
        <v>3</v>
      </c>
      <c r="H439">
        <v>1</v>
      </c>
    </row>
    <row r="440" spans="1:8" x14ac:dyDescent="0.3">
      <c r="A440" t="s">
        <v>27</v>
      </c>
      <c r="B440" s="2" t="s">
        <v>4</v>
      </c>
      <c r="D440" t="s">
        <v>9</v>
      </c>
      <c r="H440">
        <v>1</v>
      </c>
    </row>
    <row r="441" spans="1:8" x14ac:dyDescent="0.3">
      <c r="A441" t="s">
        <v>27</v>
      </c>
      <c r="B441" s="2" t="s">
        <v>2</v>
      </c>
      <c r="D441" t="s">
        <v>11</v>
      </c>
      <c r="H441">
        <v>41</v>
      </c>
    </row>
    <row r="442" spans="1:8" x14ac:dyDescent="0.3">
      <c r="A442" t="s">
        <v>27</v>
      </c>
      <c r="B442" s="2" t="s">
        <v>4</v>
      </c>
      <c r="D442" t="s">
        <v>11</v>
      </c>
      <c r="H442">
        <v>22</v>
      </c>
    </row>
    <row r="443" spans="1:8" x14ac:dyDescent="0.3">
      <c r="A443" t="s">
        <v>27</v>
      </c>
      <c r="B443" s="2" t="s">
        <v>2</v>
      </c>
      <c r="D443" t="s">
        <v>80</v>
      </c>
      <c r="H443">
        <v>57</v>
      </c>
    </row>
    <row r="444" spans="1:8" x14ac:dyDescent="0.3">
      <c r="A444" t="s">
        <v>27</v>
      </c>
      <c r="B444" s="2" t="s">
        <v>4</v>
      </c>
      <c r="D444" t="s">
        <v>80</v>
      </c>
      <c r="H444">
        <v>24</v>
      </c>
    </row>
    <row r="445" spans="1:8" x14ac:dyDescent="0.3">
      <c r="A445" t="s">
        <v>27</v>
      </c>
      <c r="B445" s="2" t="s">
        <v>2</v>
      </c>
      <c r="D445" t="s">
        <v>8</v>
      </c>
      <c r="H445">
        <v>6</v>
      </c>
    </row>
    <row r="446" spans="1:8" x14ac:dyDescent="0.3">
      <c r="A446" t="s">
        <v>27</v>
      </c>
      <c r="B446" s="2" t="s">
        <v>4</v>
      </c>
      <c r="D446" t="s">
        <v>8</v>
      </c>
      <c r="H446">
        <v>2</v>
      </c>
    </row>
    <row r="447" spans="1:8" x14ac:dyDescent="0.3">
      <c r="A447" t="s">
        <v>27</v>
      </c>
      <c r="B447" s="2" t="s">
        <v>2</v>
      </c>
      <c r="D447" t="s">
        <v>76</v>
      </c>
      <c r="H447">
        <v>29</v>
      </c>
    </row>
    <row r="448" spans="1:8" x14ac:dyDescent="0.3">
      <c r="A448" t="s">
        <v>27</v>
      </c>
      <c r="B448" s="2" t="s">
        <v>2</v>
      </c>
      <c r="D448" t="s">
        <v>10</v>
      </c>
      <c r="H448">
        <v>1</v>
      </c>
    </row>
    <row r="449" spans="1:8" x14ac:dyDescent="0.3">
      <c r="A449" t="s">
        <v>27</v>
      </c>
      <c r="B449" s="2" t="s">
        <v>2</v>
      </c>
      <c r="D449" t="s">
        <v>14</v>
      </c>
      <c r="H449">
        <v>18</v>
      </c>
    </row>
    <row r="450" spans="1:8" x14ac:dyDescent="0.3">
      <c r="A450" t="s">
        <v>27</v>
      </c>
      <c r="B450" s="2" t="s">
        <v>4</v>
      </c>
      <c r="D450" t="s">
        <v>14</v>
      </c>
      <c r="H450">
        <v>9</v>
      </c>
    </row>
    <row r="451" spans="1:8" x14ac:dyDescent="0.3">
      <c r="A451" t="s">
        <v>27</v>
      </c>
      <c r="B451" s="2" t="s">
        <v>2</v>
      </c>
      <c r="D451" t="s">
        <v>15</v>
      </c>
      <c r="H451">
        <v>5</v>
      </c>
    </row>
    <row r="452" spans="1:8" x14ac:dyDescent="0.3">
      <c r="A452" t="s">
        <v>27</v>
      </c>
      <c r="B452" s="2" t="s">
        <v>2</v>
      </c>
      <c r="D452" t="s">
        <v>17</v>
      </c>
      <c r="H452">
        <v>12</v>
      </c>
    </row>
    <row r="453" spans="1:8" x14ac:dyDescent="0.3">
      <c r="A453" t="s">
        <v>27</v>
      </c>
      <c r="B453" s="2" t="s">
        <v>2</v>
      </c>
      <c r="D453" t="s">
        <v>6</v>
      </c>
      <c r="H453">
        <v>2</v>
      </c>
    </row>
    <row r="454" spans="1:8" x14ac:dyDescent="0.3">
      <c r="A454" t="s">
        <v>27</v>
      </c>
      <c r="B454" s="2" t="s">
        <v>2</v>
      </c>
      <c r="D454" t="s">
        <v>16</v>
      </c>
      <c r="H454">
        <v>21</v>
      </c>
    </row>
    <row r="455" spans="1:8" x14ac:dyDescent="0.3">
      <c r="A455" t="s">
        <v>27</v>
      </c>
      <c r="B455" s="2" t="s">
        <v>2</v>
      </c>
      <c r="D455" t="s">
        <v>78</v>
      </c>
      <c r="H455">
        <v>41</v>
      </c>
    </row>
    <row r="456" spans="1:8" x14ac:dyDescent="0.3">
      <c r="A456" t="s">
        <v>27</v>
      </c>
      <c r="B456" s="2" t="s">
        <v>2</v>
      </c>
      <c r="E456" t="s">
        <v>21</v>
      </c>
      <c r="H456">
        <v>7</v>
      </c>
    </row>
    <row r="457" spans="1:8" x14ac:dyDescent="0.3">
      <c r="A457" t="s">
        <v>27</v>
      </c>
      <c r="B457" s="2" t="s">
        <v>4</v>
      </c>
      <c r="E457" t="s">
        <v>21</v>
      </c>
      <c r="H457">
        <v>4</v>
      </c>
    </row>
    <row r="458" spans="1:8" x14ac:dyDescent="0.3">
      <c r="A458" t="s">
        <v>27</v>
      </c>
      <c r="B458" s="2" t="s">
        <v>2</v>
      </c>
      <c r="E458" t="s">
        <v>91</v>
      </c>
      <c r="H458">
        <f>56+31</f>
        <v>87</v>
      </c>
    </row>
    <row r="459" spans="1:8" x14ac:dyDescent="0.3">
      <c r="A459" t="s">
        <v>27</v>
      </c>
      <c r="B459" s="2" t="s">
        <v>4</v>
      </c>
      <c r="E459" t="s">
        <v>91</v>
      </c>
      <c r="H459">
        <v>28</v>
      </c>
    </row>
    <row r="460" spans="1:8" x14ac:dyDescent="0.3">
      <c r="A460" t="s">
        <v>27</v>
      </c>
      <c r="B460" s="2" t="s">
        <v>2</v>
      </c>
      <c r="E460" t="s">
        <v>90</v>
      </c>
      <c r="H460">
        <v>66</v>
      </c>
    </row>
    <row r="461" spans="1:8" x14ac:dyDescent="0.3">
      <c r="A461" t="s">
        <v>27</v>
      </c>
      <c r="B461" s="2" t="s">
        <v>4</v>
      </c>
      <c r="E461" t="s">
        <v>90</v>
      </c>
      <c r="H461">
        <v>22</v>
      </c>
    </row>
    <row r="462" spans="1:8" x14ac:dyDescent="0.3">
      <c r="A462" t="s">
        <v>27</v>
      </c>
      <c r="B462" s="2" t="s">
        <v>2</v>
      </c>
      <c r="E462" t="s">
        <v>89</v>
      </c>
      <c r="H462">
        <v>45</v>
      </c>
    </row>
    <row r="463" spans="1:8" x14ac:dyDescent="0.3">
      <c r="A463" t="s">
        <v>27</v>
      </c>
      <c r="B463" s="2" t="s">
        <v>4</v>
      </c>
      <c r="E463" t="s">
        <v>89</v>
      </c>
      <c r="H463">
        <v>13</v>
      </c>
    </row>
    <row r="464" spans="1:8" x14ac:dyDescent="0.3">
      <c r="A464" t="s">
        <v>27</v>
      </c>
      <c r="B464" s="2" t="s">
        <v>2</v>
      </c>
      <c r="E464" t="s">
        <v>60</v>
      </c>
      <c r="H464">
        <v>3</v>
      </c>
    </row>
    <row r="465" spans="1:8" x14ac:dyDescent="0.3">
      <c r="A465" t="s">
        <v>27</v>
      </c>
      <c r="B465" s="2" t="s">
        <v>4</v>
      </c>
      <c r="E465" t="s">
        <v>60</v>
      </c>
      <c r="H465">
        <v>1</v>
      </c>
    </row>
    <row r="466" spans="1:8" x14ac:dyDescent="0.3">
      <c r="A466" t="s">
        <v>27</v>
      </c>
      <c r="B466" s="2" t="s">
        <v>2</v>
      </c>
      <c r="E466" t="s">
        <v>61</v>
      </c>
      <c r="H466">
        <v>14</v>
      </c>
    </row>
    <row r="467" spans="1:8" x14ac:dyDescent="0.3">
      <c r="A467" t="s">
        <v>27</v>
      </c>
      <c r="B467" s="2" t="s">
        <v>4</v>
      </c>
      <c r="E467" t="s">
        <v>61</v>
      </c>
      <c r="H467">
        <v>1</v>
      </c>
    </row>
    <row r="468" spans="1:8" x14ac:dyDescent="0.3">
      <c r="A468" t="s">
        <v>27</v>
      </c>
      <c r="B468" s="2" t="s">
        <v>2</v>
      </c>
      <c r="E468" t="s">
        <v>62</v>
      </c>
      <c r="H468">
        <v>10</v>
      </c>
    </row>
    <row r="469" spans="1:8" x14ac:dyDescent="0.3">
      <c r="A469" t="s">
        <v>27</v>
      </c>
      <c r="B469" s="2" t="s">
        <v>4</v>
      </c>
      <c r="E469" t="s">
        <v>62</v>
      </c>
      <c r="H469">
        <v>1</v>
      </c>
    </row>
    <row r="470" spans="1:8" x14ac:dyDescent="0.3">
      <c r="A470" t="s">
        <v>27</v>
      </c>
      <c r="B470" s="2" t="s">
        <v>2</v>
      </c>
      <c r="F470" t="s">
        <v>64</v>
      </c>
      <c r="H470">
        <v>82</v>
      </c>
    </row>
    <row r="471" spans="1:8" x14ac:dyDescent="0.3">
      <c r="A471" t="s">
        <v>27</v>
      </c>
      <c r="B471" s="2" t="s">
        <v>4</v>
      </c>
      <c r="F471" t="s">
        <v>64</v>
      </c>
      <c r="H471">
        <v>26</v>
      </c>
    </row>
    <row r="472" spans="1:8" x14ac:dyDescent="0.3">
      <c r="A472" t="s">
        <v>27</v>
      </c>
      <c r="B472" s="2" t="s">
        <v>2</v>
      </c>
      <c r="F472" t="s">
        <v>18</v>
      </c>
      <c r="H472">
        <v>132</v>
      </c>
    </row>
    <row r="473" spans="1:8" x14ac:dyDescent="0.3">
      <c r="A473" t="s">
        <v>27</v>
      </c>
      <c r="B473" s="2" t="s">
        <v>4</v>
      </c>
      <c r="F473" t="s">
        <v>18</v>
      </c>
      <c r="H473">
        <v>38</v>
      </c>
    </row>
    <row r="474" spans="1:8" x14ac:dyDescent="0.3">
      <c r="A474" t="s">
        <v>27</v>
      </c>
      <c r="B474" s="2" t="s">
        <v>2</v>
      </c>
      <c r="F474" t="s">
        <v>19</v>
      </c>
      <c r="H474">
        <v>5</v>
      </c>
    </row>
    <row r="475" spans="1:8" x14ac:dyDescent="0.3">
      <c r="A475" t="s">
        <v>27</v>
      </c>
      <c r="B475" s="2" t="s">
        <v>4</v>
      </c>
      <c r="F475" t="s">
        <v>19</v>
      </c>
      <c r="H475">
        <v>5</v>
      </c>
    </row>
    <row r="476" spans="1:8" x14ac:dyDescent="0.3">
      <c r="A476" t="s">
        <v>27</v>
      </c>
      <c r="B476" s="2" t="s">
        <v>2</v>
      </c>
      <c r="F476" t="s">
        <v>20</v>
      </c>
      <c r="H476">
        <v>2</v>
      </c>
    </row>
    <row r="477" spans="1:8" x14ac:dyDescent="0.3">
      <c r="A477" t="s">
        <v>27</v>
      </c>
      <c r="B477" s="2" t="s">
        <v>2</v>
      </c>
      <c r="F477" t="s">
        <v>66</v>
      </c>
      <c r="H477">
        <v>11</v>
      </c>
    </row>
    <row r="478" spans="1:8" x14ac:dyDescent="0.3">
      <c r="A478" t="s">
        <v>27</v>
      </c>
      <c r="B478" s="2" t="s">
        <v>4</v>
      </c>
      <c r="F478" t="s">
        <v>66</v>
      </c>
      <c r="H478">
        <v>1</v>
      </c>
    </row>
    <row r="479" spans="1:8" x14ac:dyDescent="0.3">
      <c r="A479" t="s">
        <v>27</v>
      </c>
      <c r="B479" s="2" t="s">
        <v>4</v>
      </c>
      <c r="G479" t="s">
        <v>68</v>
      </c>
      <c r="H479">
        <v>36</v>
      </c>
    </row>
    <row r="480" spans="1:8" x14ac:dyDescent="0.3">
      <c r="A480" t="s">
        <v>27</v>
      </c>
      <c r="B480" s="2" t="s">
        <v>2</v>
      </c>
      <c r="G480" t="s">
        <v>82</v>
      </c>
      <c r="H480">
        <v>13</v>
      </c>
    </row>
    <row r="481" spans="1:8" x14ac:dyDescent="0.3">
      <c r="A481" t="s">
        <v>27</v>
      </c>
      <c r="B481" s="2" t="s">
        <v>2</v>
      </c>
      <c r="G481" t="s">
        <v>83</v>
      </c>
      <c r="H481">
        <v>56</v>
      </c>
    </row>
    <row r="482" spans="1:8" x14ac:dyDescent="0.3">
      <c r="A482" t="s">
        <v>27</v>
      </c>
      <c r="B482" s="2" t="s">
        <v>4</v>
      </c>
      <c r="G482" t="s">
        <v>83</v>
      </c>
      <c r="H482">
        <v>11</v>
      </c>
    </row>
    <row r="483" spans="1:8" x14ac:dyDescent="0.3">
      <c r="A483" t="s">
        <v>27</v>
      </c>
      <c r="B483" s="2" t="s">
        <v>2</v>
      </c>
      <c r="G483" t="s">
        <v>69</v>
      </c>
      <c r="H483">
        <v>9</v>
      </c>
    </row>
    <row r="484" spans="1:8" x14ac:dyDescent="0.3">
      <c r="A484" t="s">
        <v>27</v>
      </c>
      <c r="B484" s="2" t="s">
        <v>4</v>
      </c>
      <c r="G484" t="s">
        <v>69</v>
      </c>
      <c r="H484">
        <v>11</v>
      </c>
    </row>
    <row r="485" spans="1:8" x14ac:dyDescent="0.3">
      <c r="A485" t="s">
        <v>27</v>
      </c>
      <c r="B485" s="2" t="s">
        <v>2</v>
      </c>
      <c r="G485" t="s">
        <v>70</v>
      </c>
      <c r="H485">
        <v>70</v>
      </c>
    </row>
    <row r="486" spans="1:8" x14ac:dyDescent="0.3">
      <c r="A486" t="s">
        <v>27</v>
      </c>
      <c r="B486" s="2" t="s">
        <v>4</v>
      </c>
      <c r="G486" t="s">
        <v>70</v>
      </c>
      <c r="H486">
        <v>10</v>
      </c>
    </row>
    <row r="487" spans="1:8" x14ac:dyDescent="0.3">
      <c r="A487" t="s">
        <v>27</v>
      </c>
      <c r="B487" s="2" t="s">
        <v>2</v>
      </c>
      <c r="G487" t="s">
        <v>84</v>
      </c>
      <c r="H487">
        <v>26</v>
      </c>
    </row>
    <row r="488" spans="1:8" x14ac:dyDescent="0.3">
      <c r="A488" t="s">
        <v>27</v>
      </c>
      <c r="B488" s="2" t="s">
        <v>4</v>
      </c>
      <c r="G488" t="s">
        <v>84</v>
      </c>
      <c r="H488">
        <v>2</v>
      </c>
    </row>
    <row r="489" spans="1:8" x14ac:dyDescent="0.3">
      <c r="A489" t="s">
        <v>27</v>
      </c>
      <c r="B489" s="2" t="s">
        <v>2</v>
      </c>
      <c r="G489" t="s">
        <v>71</v>
      </c>
      <c r="H489">
        <v>36</v>
      </c>
    </row>
    <row r="490" spans="1:8" x14ac:dyDescent="0.3">
      <c r="A490" t="s">
        <v>27</v>
      </c>
      <c r="B490" s="2" t="s">
        <v>2</v>
      </c>
      <c r="G490" t="s">
        <v>72</v>
      </c>
      <c r="H490">
        <v>22</v>
      </c>
    </row>
    <row r="491" spans="1:8" x14ac:dyDescent="0.3">
      <c r="A491" t="s">
        <v>28</v>
      </c>
      <c r="B491" s="2" t="s">
        <v>2</v>
      </c>
      <c r="C491" s="4" t="s">
        <v>13</v>
      </c>
      <c r="H491" s="3">
        <v>422</v>
      </c>
    </row>
    <row r="492" spans="1:8" x14ac:dyDescent="0.3">
      <c r="A492" t="s">
        <v>28</v>
      </c>
      <c r="B492" s="2" t="s">
        <v>4</v>
      </c>
      <c r="C492" s="4" t="s">
        <v>13</v>
      </c>
      <c r="H492" s="3">
        <v>92</v>
      </c>
    </row>
    <row r="493" spans="1:8" x14ac:dyDescent="0.3">
      <c r="A493" t="s">
        <v>28</v>
      </c>
      <c r="B493" s="2" t="s">
        <v>2</v>
      </c>
      <c r="C493" s="4" t="s">
        <v>104</v>
      </c>
      <c r="H493" s="3">
        <f>75+27</f>
        <v>102</v>
      </c>
    </row>
    <row r="494" spans="1:8" x14ac:dyDescent="0.3">
      <c r="A494" t="s">
        <v>28</v>
      </c>
      <c r="B494" s="2" t="s">
        <v>4</v>
      </c>
      <c r="C494" s="4" t="s">
        <v>104</v>
      </c>
      <c r="H494" s="3">
        <v>86</v>
      </c>
    </row>
    <row r="495" spans="1:8" x14ac:dyDescent="0.3">
      <c r="A495" t="s">
        <v>28</v>
      </c>
      <c r="B495" s="2" t="s">
        <v>2</v>
      </c>
      <c r="C495" s="4" t="s">
        <v>7</v>
      </c>
      <c r="H495" s="3">
        <v>3719</v>
      </c>
    </row>
    <row r="496" spans="1:8" x14ac:dyDescent="0.3">
      <c r="A496" t="s">
        <v>28</v>
      </c>
      <c r="B496" s="2" t="s">
        <v>4</v>
      </c>
      <c r="C496" s="4" t="s">
        <v>7</v>
      </c>
      <c r="H496" s="3">
        <v>1897</v>
      </c>
    </row>
    <row r="497" spans="1:8" x14ac:dyDescent="0.3">
      <c r="A497" t="s">
        <v>28</v>
      </c>
      <c r="B497" s="2" t="s">
        <v>56</v>
      </c>
      <c r="C497" s="4" t="s">
        <v>7</v>
      </c>
      <c r="H497" s="3">
        <v>2</v>
      </c>
    </row>
    <row r="498" spans="1:8" x14ac:dyDescent="0.3">
      <c r="A498" t="s">
        <v>28</v>
      </c>
      <c r="B498" s="2" t="s">
        <v>2</v>
      </c>
      <c r="C498" s="4" t="s">
        <v>103</v>
      </c>
      <c r="H498" s="3">
        <v>1529</v>
      </c>
    </row>
    <row r="499" spans="1:8" x14ac:dyDescent="0.3">
      <c r="A499" t="s">
        <v>28</v>
      </c>
      <c r="B499" s="2" t="s">
        <v>4</v>
      </c>
      <c r="C499" s="4" t="s">
        <v>103</v>
      </c>
      <c r="H499" s="3">
        <v>540</v>
      </c>
    </row>
    <row r="500" spans="1:8" x14ac:dyDescent="0.3">
      <c r="A500" t="s">
        <v>28</v>
      </c>
      <c r="B500" s="2" t="s">
        <v>2</v>
      </c>
      <c r="C500" s="4" t="s">
        <v>79</v>
      </c>
      <c r="H500" s="3">
        <v>127</v>
      </c>
    </row>
    <row r="501" spans="1:8" x14ac:dyDescent="0.3">
      <c r="A501" t="s">
        <v>28</v>
      </c>
      <c r="B501" s="2" t="s">
        <v>4</v>
      </c>
      <c r="C501" s="4" t="s">
        <v>79</v>
      </c>
      <c r="H501" s="3">
        <v>45</v>
      </c>
    </row>
    <row r="502" spans="1:8" x14ac:dyDescent="0.3">
      <c r="A502" t="s">
        <v>28</v>
      </c>
      <c r="B502" s="2" t="s">
        <v>2</v>
      </c>
      <c r="C502" s="4" t="s">
        <v>105</v>
      </c>
      <c r="H502" s="3">
        <v>269</v>
      </c>
    </row>
    <row r="503" spans="1:8" x14ac:dyDescent="0.3">
      <c r="A503" t="s">
        <v>28</v>
      </c>
      <c r="B503" s="2" t="s">
        <v>4</v>
      </c>
      <c r="C503" s="4" t="s">
        <v>105</v>
      </c>
      <c r="H503" s="3">
        <v>39</v>
      </c>
    </row>
    <row r="504" spans="1:8" x14ac:dyDescent="0.3">
      <c r="A504" t="s">
        <v>28</v>
      </c>
      <c r="B504" s="2" t="s">
        <v>2</v>
      </c>
      <c r="C504" s="4" t="s">
        <v>58</v>
      </c>
      <c r="H504" s="3">
        <v>7</v>
      </c>
    </row>
    <row r="505" spans="1:8" x14ac:dyDescent="0.3">
      <c r="A505" t="s">
        <v>28</v>
      </c>
      <c r="B505" s="2" t="s">
        <v>4</v>
      </c>
      <c r="C505" s="4" t="s">
        <v>58</v>
      </c>
      <c r="H505" s="3">
        <v>2</v>
      </c>
    </row>
    <row r="506" spans="1:8" x14ac:dyDescent="0.3">
      <c r="A506" t="s">
        <v>28</v>
      </c>
      <c r="B506" s="2" t="s">
        <v>2</v>
      </c>
      <c r="C506" s="4" t="s">
        <v>59</v>
      </c>
      <c r="H506" s="3">
        <v>83</v>
      </c>
    </row>
    <row r="507" spans="1:8" x14ac:dyDescent="0.3">
      <c r="A507" t="s">
        <v>28</v>
      </c>
      <c r="B507" s="2" t="s">
        <v>4</v>
      </c>
      <c r="C507" s="4" t="s">
        <v>59</v>
      </c>
      <c r="H507" s="3">
        <v>41</v>
      </c>
    </row>
    <row r="508" spans="1:8" x14ac:dyDescent="0.3">
      <c r="A508" t="s">
        <v>28</v>
      </c>
      <c r="B508" s="2" t="s">
        <v>2</v>
      </c>
      <c r="D508" t="s">
        <v>81</v>
      </c>
      <c r="H508">
        <v>124</v>
      </c>
    </row>
    <row r="509" spans="1:8" x14ac:dyDescent="0.3">
      <c r="A509" t="s">
        <v>28</v>
      </c>
      <c r="B509" s="2" t="s">
        <v>4</v>
      </c>
      <c r="D509" t="s">
        <v>81</v>
      </c>
      <c r="H509">
        <v>74</v>
      </c>
    </row>
    <row r="510" spans="1:8" x14ac:dyDescent="0.3">
      <c r="A510" t="s">
        <v>28</v>
      </c>
      <c r="B510" s="2" t="s">
        <v>4</v>
      </c>
      <c r="D510" t="s">
        <v>73</v>
      </c>
      <c r="H510">
        <v>3</v>
      </c>
    </row>
    <row r="511" spans="1:8" x14ac:dyDescent="0.3">
      <c r="A511" t="s">
        <v>28</v>
      </c>
      <c r="B511" s="2" t="s">
        <v>2</v>
      </c>
      <c r="D511" t="s">
        <v>74</v>
      </c>
      <c r="H511">
        <v>50</v>
      </c>
    </row>
    <row r="512" spans="1:8" x14ac:dyDescent="0.3">
      <c r="A512" t="s">
        <v>28</v>
      </c>
      <c r="B512" s="2" t="s">
        <v>4</v>
      </c>
      <c r="D512" t="s">
        <v>74</v>
      </c>
      <c r="H512">
        <v>36</v>
      </c>
    </row>
    <row r="513" spans="1:8" x14ac:dyDescent="0.3">
      <c r="A513" t="s">
        <v>28</v>
      </c>
      <c r="B513" s="2" t="s">
        <v>2</v>
      </c>
      <c r="D513" t="s">
        <v>3</v>
      </c>
      <c r="H513">
        <v>59</v>
      </c>
    </row>
    <row r="514" spans="1:8" x14ac:dyDescent="0.3">
      <c r="A514" t="s">
        <v>28</v>
      </c>
      <c r="B514" s="2" t="s">
        <v>4</v>
      </c>
      <c r="D514" t="s">
        <v>3</v>
      </c>
      <c r="H514">
        <v>33</v>
      </c>
    </row>
    <row r="515" spans="1:8" x14ac:dyDescent="0.3">
      <c r="A515" t="s">
        <v>28</v>
      </c>
      <c r="B515" s="2" t="s">
        <v>2</v>
      </c>
      <c r="D515" t="s">
        <v>9</v>
      </c>
      <c r="H515">
        <v>73</v>
      </c>
    </row>
    <row r="516" spans="1:8" x14ac:dyDescent="0.3">
      <c r="A516" t="s">
        <v>28</v>
      </c>
      <c r="B516" s="2" t="s">
        <v>4</v>
      </c>
      <c r="D516" t="s">
        <v>9</v>
      </c>
      <c r="H516">
        <v>82</v>
      </c>
    </row>
    <row r="517" spans="1:8" x14ac:dyDescent="0.3">
      <c r="A517" t="s">
        <v>28</v>
      </c>
      <c r="B517" s="2" t="s">
        <v>2</v>
      </c>
      <c r="D517" t="s">
        <v>75</v>
      </c>
      <c r="H517">
        <v>11</v>
      </c>
    </row>
    <row r="518" spans="1:8" x14ac:dyDescent="0.3">
      <c r="A518" t="s">
        <v>28</v>
      </c>
      <c r="B518" s="2" t="s">
        <v>4</v>
      </c>
      <c r="D518" t="s">
        <v>75</v>
      </c>
      <c r="H518">
        <v>20</v>
      </c>
    </row>
    <row r="519" spans="1:8" x14ac:dyDescent="0.3">
      <c r="A519" t="s">
        <v>28</v>
      </c>
      <c r="B519" s="2" t="s">
        <v>2</v>
      </c>
      <c r="D519" t="s">
        <v>11</v>
      </c>
      <c r="H519">
        <v>1472</v>
      </c>
    </row>
    <row r="520" spans="1:8" x14ac:dyDescent="0.3">
      <c r="A520" t="s">
        <v>28</v>
      </c>
      <c r="B520" s="2" t="s">
        <v>4</v>
      </c>
      <c r="D520" t="s">
        <v>11</v>
      </c>
      <c r="H520">
        <v>810</v>
      </c>
    </row>
    <row r="521" spans="1:8" x14ac:dyDescent="0.3">
      <c r="A521" t="s">
        <v>28</v>
      </c>
      <c r="B521" s="2" t="s">
        <v>2</v>
      </c>
      <c r="D521" t="s">
        <v>80</v>
      </c>
      <c r="H521">
        <v>1172</v>
      </c>
    </row>
    <row r="522" spans="1:8" x14ac:dyDescent="0.3">
      <c r="A522" t="s">
        <v>28</v>
      </c>
      <c r="B522" s="2" t="s">
        <v>4</v>
      </c>
      <c r="D522" t="s">
        <v>80</v>
      </c>
      <c r="H522">
        <v>571</v>
      </c>
    </row>
    <row r="523" spans="1:8" x14ac:dyDescent="0.3">
      <c r="A523" t="s">
        <v>28</v>
      </c>
      <c r="B523" s="2" t="s">
        <v>56</v>
      </c>
      <c r="D523" t="s">
        <v>80</v>
      </c>
      <c r="H523">
        <v>1</v>
      </c>
    </row>
    <row r="524" spans="1:8" x14ac:dyDescent="0.3">
      <c r="A524" t="s">
        <v>28</v>
      </c>
      <c r="B524" s="2" t="s">
        <v>2</v>
      </c>
      <c r="D524" t="s">
        <v>8</v>
      </c>
      <c r="H524">
        <v>93</v>
      </c>
    </row>
    <row r="525" spans="1:8" x14ac:dyDescent="0.3">
      <c r="A525" t="s">
        <v>28</v>
      </c>
      <c r="B525" s="2" t="s">
        <v>4</v>
      </c>
      <c r="D525" t="s">
        <v>8</v>
      </c>
      <c r="H525">
        <v>48</v>
      </c>
    </row>
    <row r="526" spans="1:8" x14ac:dyDescent="0.3">
      <c r="A526" t="s">
        <v>28</v>
      </c>
      <c r="B526" s="2" t="s">
        <v>2</v>
      </c>
      <c r="D526" t="s">
        <v>76</v>
      </c>
      <c r="H526">
        <v>91</v>
      </c>
    </row>
    <row r="527" spans="1:8" x14ac:dyDescent="0.3">
      <c r="A527" t="s">
        <v>28</v>
      </c>
      <c r="B527" s="2" t="s">
        <v>4</v>
      </c>
      <c r="D527" t="s">
        <v>76</v>
      </c>
      <c r="H527">
        <v>3</v>
      </c>
    </row>
    <row r="528" spans="1:8" x14ac:dyDescent="0.3">
      <c r="A528" t="s">
        <v>28</v>
      </c>
      <c r="B528" s="2" t="s">
        <v>2</v>
      </c>
      <c r="D528" t="s">
        <v>10</v>
      </c>
      <c r="H528">
        <v>30</v>
      </c>
    </row>
    <row r="529" spans="1:8" x14ac:dyDescent="0.3">
      <c r="A529" t="s">
        <v>28</v>
      </c>
      <c r="B529" s="2" t="s">
        <v>4</v>
      </c>
      <c r="D529" t="s">
        <v>10</v>
      </c>
      <c r="H529">
        <v>11</v>
      </c>
    </row>
    <row r="530" spans="1:8" x14ac:dyDescent="0.3">
      <c r="A530" t="s">
        <v>28</v>
      </c>
      <c r="B530" s="2" t="s">
        <v>2</v>
      </c>
      <c r="D530" t="s">
        <v>5</v>
      </c>
      <c r="H530">
        <v>26</v>
      </c>
    </row>
    <row r="531" spans="1:8" x14ac:dyDescent="0.3">
      <c r="A531" t="s">
        <v>28</v>
      </c>
      <c r="B531" s="2" t="s">
        <v>4</v>
      </c>
      <c r="D531" t="s">
        <v>5</v>
      </c>
      <c r="H531">
        <v>16</v>
      </c>
    </row>
    <row r="532" spans="1:8" x14ac:dyDescent="0.3">
      <c r="A532" t="s">
        <v>28</v>
      </c>
      <c r="B532" s="2" t="s">
        <v>2</v>
      </c>
      <c r="D532" t="s">
        <v>14</v>
      </c>
      <c r="H532">
        <v>390</v>
      </c>
    </row>
    <row r="533" spans="1:8" x14ac:dyDescent="0.3">
      <c r="A533" t="s">
        <v>28</v>
      </c>
      <c r="B533" s="2" t="s">
        <v>4</v>
      </c>
      <c r="D533" t="s">
        <v>14</v>
      </c>
      <c r="H533">
        <v>253</v>
      </c>
    </row>
    <row r="534" spans="1:8" x14ac:dyDescent="0.3">
      <c r="A534" t="s">
        <v>28</v>
      </c>
      <c r="B534" s="2" t="s">
        <v>56</v>
      </c>
      <c r="D534" t="s">
        <v>14</v>
      </c>
      <c r="H534">
        <v>1</v>
      </c>
    </row>
    <row r="535" spans="1:8" x14ac:dyDescent="0.3">
      <c r="A535" t="s">
        <v>28</v>
      </c>
      <c r="B535" s="2" t="s">
        <v>2</v>
      </c>
      <c r="D535" t="s">
        <v>15</v>
      </c>
      <c r="H535">
        <v>157</v>
      </c>
    </row>
    <row r="536" spans="1:8" x14ac:dyDescent="0.3">
      <c r="A536" t="s">
        <v>28</v>
      </c>
      <c r="B536" s="2" t="s">
        <v>4</v>
      </c>
      <c r="D536" t="s">
        <v>15</v>
      </c>
      <c r="H536">
        <v>16</v>
      </c>
    </row>
    <row r="537" spans="1:8" x14ac:dyDescent="0.3">
      <c r="A537" t="s">
        <v>28</v>
      </c>
      <c r="B537" s="2" t="s">
        <v>2</v>
      </c>
      <c r="D537" t="s">
        <v>17</v>
      </c>
      <c r="H537">
        <v>265</v>
      </c>
    </row>
    <row r="538" spans="1:8" x14ac:dyDescent="0.3">
      <c r="A538" t="s">
        <v>28</v>
      </c>
      <c r="B538" s="2" t="s">
        <v>4</v>
      </c>
      <c r="D538" t="s">
        <v>17</v>
      </c>
      <c r="H538">
        <v>24</v>
      </c>
    </row>
    <row r="539" spans="1:8" x14ac:dyDescent="0.3">
      <c r="A539" t="s">
        <v>28</v>
      </c>
      <c r="B539" s="2" t="s">
        <v>2</v>
      </c>
      <c r="D539" t="s">
        <v>6</v>
      </c>
      <c r="H539">
        <v>17</v>
      </c>
    </row>
    <row r="540" spans="1:8" x14ac:dyDescent="0.3">
      <c r="A540" t="s">
        <v>28</v>
      </c>
      <c r="B540" s="2" t="s">
        <v>4</v>
      </c>
      <c r="D540" t="s">
        <v>6</v>
      </c>
      <c r="H540">
        <v>1</v>
      </c>
    </row>
    <row r="541" spans="1:8" x14ac:dyDescent="0.3">
      <c r="A541" t="s">
        <v>28</v>
      </c>
      <c r="B541" s="2" t="s">
        <v>4</v>
      </c>
      <c r="D541" t="s">
        <v>77</v>
      </c>
      <c r="H541">
        <v>1</v>
      </c>
    </row>
    <row r="542" spans="1:8" x14ac:dyDescent="0.3">
      <c r="A542" t="s">
        <v>28</v>
      </c>
      <c r="B542" s="2" t="s">
        <v>2</v>
      </c>
      <c r="D542" t="s">
        <v>16</v>
      </c>
      <c r="H542">
        <v>471</v>
      </c>
    </row>
    <row r="543" spans="1:8" x14ac:dyDescent="0.3">
      <c r="A543" t="s">
        <v>28</v>
      </c>
      <c r="B543" s="2" t="s">
        <v>4</v>
      </c>
      <c r="D543" t="s">
        <v>16</v>
      </c>
      <c r="H543">
        <v>22</v>
      </c>
    </row>
    <row r="544" spans="1:8" x14ac:dyDescent="0.3">
      <c r="A544" t="s">
        <v>28</v>
      </c>
      <c r="B544" s="2" t="s">
        <v>2</v>
      </c>
      <c r="D544" t="s">
        <v>78</v>
      </c>
      <c r="H544">
        <f>237+1515</f>
        <v>1752</v>
      </c>
    </row>
    <row r="545" spans="1:8" x14ac:dyDescent="0.3">
      <c r="A545" t="s">
        <v>28</v>
      </c>
      <c r="B545" s="2" t="s">
        <v>4</v>
      </c>
      <c r="D545" t="s">
        <v>78</v>
      </c>
      <c r="H545">
        <f>113+610</f>
        <v>723</v>
      </c>
    </row>
    <row r="546" spans="1:8" x14ac:dyDescent="0.3">
      <c r="A546" t="s">
        <v>28</v>
      </c>
      <c r="B546" s="2" t="s">
        <v>2</v>
      </c>
      <c r="E546" t="s">
        <v>21</v>
      </c>
      <c r="H546">
        <v>569</v>
      </c>
    </row>
    <row r="547" spans="1:8" x14ac:dyDescent="0.3">
      <c r="A547" t="s">
        <v>28</v>
      </c>
      <c r="B547" s="2" t="s">
        <v>4</v>
      </c>
      <c r="E547" t="s">
        <v>21</v>
      </c>
      <c r="H547">
        <v>322</v>
      </c>
    </row>
    <row r="548" spans="1:8" x14ac:dyDescent="0.3">
      <c r="A548" t="s">
        <v>28</v>
      </c>
      <c r="B548" s="2" t="s">
        <v>56</v>
      </c>
      <c r="E548" t="s">
        <v>91</v>
      </c>
      <c r="H548">
        <v>1</v>
      </c>
    </row>
    <row r="549" spans="1:8" x14ac:dyDescent="0.3">
      <c r="A549" t="s">
        <v>28</v>
      </c>
      <c r="B549" s="2" t="s">
        <v>2</v>
      </c>
      <c r="E549" t="s">
        <v>91</v>
      </c>
      <c r="H549">
        <f>1374+902</f>
        <v>2276</v>
      </c>
    </row>
    <row r="550" spans="1:8" x14ac:dyDescent="0.3">
      <c r="A550" t="s">
        <v>28</v>
      </c>
      <c r="B550" s="2" t="s">
        <v>4</v>
      </c>
      <c r="E550" t="s">
        <v>91</v>
      </c>
      <c r="H550">
        <f>641+524</f>
        <v>1165</v>
      </c>
    </row>
    <row r="551" spans="1:8" x14ac:dyDescent="0.3">
      <c r="A551" t="s">
        <v>28</v>
      </c>
      <c r="B551" s="2" t="s">
        <v>2</v>
      </c>
      <c r="E551" t="s">
        <v>90</v>
      </c>
      <c r="H551">
        <v>1639</v>
      </c>
    </row>
    <row r="552" spans="1:8" x14ac:dyDescent="0.3">
      <c r="A552" t="s">
        <v>28</v>
      </c>
      <c r="B552" s="2" t="s">
        <v>4</v>
      </c>
      <c r="E552" t="s">
        <v>90</v>
      </c>
      <c r="H552">
        <v>670</v>
      </c>
    </row>
    <row r="553" spans="1:8" x14ac:dyDescent="0.3">
      <c r="A553" t="s">
        <v>28</v>
      </c>
      <c r="B553" s="2" t="s">
        <v>56</v>
      </c>
      <c r="E553" t="s">
        <v>90</v>
      </c>
      <c r="H553">
        <v>1</v>
      </c>
    </row>
    <row r="554" spans="1:8" x14ac:dyDescent="0.3">
      <c r="A554" t="s">
        <v>28</v>
      </c>
      <c r="B554" s="2" t="s">
        <v>2</v>
      </c>
      <c r="E554" t="s">
        <v>89</v>
      </c>
      <c r="H554">
        <v>1203</v>
      </c>
    </row>
    <row r="555" spans="1:8" x14ac:dyDescent="0.3">
      <c r="A555" t="s">
        <v>28</v>
      </c>
      <c r="B555" s="2" t="s">
        <v>4</v>
      </c>
      <c r="E555" t="s">
        <v>89</v>
      </c>
      <c r="H555">
        <v>421</v>
      </c>
    </row>
    <row r="556" spans="1:8" x14ac:dyDescent="0.3">
      <c r="A556" t="s">
        <v>28</v>
      </c>
      <c r="B556" s="2" t="s">
        <v>2</v>
      </c>
      <c r="E556" t="s">
        <v>60</v>
      </c>
      <c r="H556">
        <v>68</v>
      </c>
    </row>
    <row r="557" spans="1:8" x14ac:dyDescent="0.3">
      <c r="A557" t="s">
        <v>28</v>
      </c>
      <c r="B557" s="2" t="s">
        <v>4</v>
      </c>
      <c r="E557" t="s">
        <v>60</v>
      </c>
      <c r="H557">
        <v>15</v>
      </c>
    </row>
    <row r="558" spans="1:8" x14ac:dyDescent="0.3">
      <c r="A558" t="s">
        <v>28</v>
      </c>
      <c r="B558" s="2" t="s">
        <v>2</v>
      </c>
      <c r="E558" t="s">
        <v>61</v>
      </c>
      <c r="H558">
        <v>287</v>
      </c>
    </row>
    <row r="559" spans="1:8" x14ac:dyDescent="0.3">
      <c r="A559" t="s">
        <v>28</v>
      </c>
      <c r="B559" s="2" t="s">
        <v>4</v>
      </c>
      <c r="E559" t="s">
        <v>61</v>
      </c>
      <c r="H559">
        <v>107</v>
      </c>
    </row>
    <row r="560" spans="1:8" x14ac:dyDescent="0.3">
      <c r="A560" t="s">
        <v>28</v>
      </c>
      <c r="B560" s="2" t="s">
        <v>2</v>
      </c>
      <c r="E560" t="s">
        <v>92</v>
      </c>
      <c r="H560">
        <v>15</v>
      </c>
    </row>
    <row r="561" spans="1:8" x14ac:dyDescent="0.3">
      <c r="A561" t="s">
        <v>28</v>
      </c>
      <c r="B561" s="2" t="s">
        <v>4</v>
      </c>
      <c r="E561" t="s">
        <v>92</v>
      </c>
      <c r="H561">
        <v>1</v>
      </c>
    </row>
    <row r="562" spans="1:8" x14ac:dyDescent="0.3">
      <c r="A562" t="s">
        <v>28</v>
      </c>
      <c r="B562" s="2" t="s">
        <v>2</v>
      </c>
      <c r="E562" t="s">
        <v>62</v>
      </c>
      <c r="H562">
        <v>201</v>
      </c>
    </row>
    <row r="563" spans="1:8" x14ac:dyDescent="0.3">
      <c r="A563" t="s">
        <v>28</v>
      </c>
      <c r="B563" s="2" t="s">
        <v>4</v>
      </c>
      <c r="E563" t="s">
        <v>62</v>
      </c>
      <c r="H563">
        <v>41</v>
      </c>
    </row>
    <row r="564" spans="1:8" x14ac:dyDescent="0.3">
      <c r="A564" t="s">
        <v>28</v>
      </c>
      <c r="B564" s="2" t="s">
        <v>2</v>
      </c>
      <c r="F564" t="s">
        <v>64</v>
      </c>
      <c r="H564">
        <v>1645</v>
      </c>
    </row>
    <row r="565" spans="1:8" x14ac:dyDescent="0.3">
      <c r="A565" t="s">
        <v>28</v>
      </c>
      <c r="B565" s="2" t="s">
        <v>4</v>
      </c>
      <c r="F565" t="s">
        <v>64</v>
      </c>
      <c r="H565">
        <v>865</v>
      </c>
    </row>
    <row r="566" spans="1:8" x14ac:dyDescent="0.3">
      <c r="A566" t="s">
        <v>28</v>
      </c>
      <c r="B566" s="2" t="s">
        <v>56</v>
      </c>
      <c r="F566" t="s">
        <v>64</v>
      </c>
      <c r="H566">
        <v>2</v>
      </c>
    </row>
    <row r="567" spans="1:8" x14ac:dyDescent="0.3">
      <c r="A567" t="s">
        <v>28</v>
      </c>
      <c r="B567" s="2" t="s">
        <v>2</v>
      </c>
      <c r="F567" t="s">
        <v>18</v>
      </c>
      <c r="H567">
        <v>4203</v>
      </c>
    </row>
    <row r="568" spans="1:8" x14ac:dyDescent="0.3">
      <c r="A568" t="s">
        <v>28</v>
      </c>
      <c r="B568" s="2" t="s">
        <v>4</v>
      </c>
      <c r="F568" t="s">
        <v>18</v>
      </c>
      <c r="H568">
        <v>1758</v>
      </c>
    </row>
    <row r="569" spans="1:8" x14ac:dyDescent="0.3">
      <c r="A569" t="s">
        <v>28</v>
      </c>
      <c r="B569" s="2" t="s">
        <v>2</v>
      </c>
      <c r="F569" t="s">
        <v>19</v>
      </c>
      <c r="H569">
        <v>87</v>
      </c>
    </row>
    <row r="570" spans="1:8" x14ac:dyDescent="0.3">
      <c r="A570" t="s">
        <v>28</v>
      </c>
      <c r="B570" s="2" t="s">
        <v>4</v>
      </c>
      <c r="F570" t="s">
        <v>19</v>
      </c>
      <c r="H570">
        <v>62</v>
      </c>
    </row>
    <row r="571" spans="1:8" x14ac:dyDescent="0.3">
      <c r="A571" t="s">
        <v>28</v>
      </c>
      <c r="B571" s="2" t="s">
        <v>2</v>
      </c>
      <c r="F571" t="s">
        <v>20</v>
      </c>
      <c r="H571">
        <v>54</v>
      </c>
    </row>
    <row r="572" spans="1:8" x14ac:dyDescent="0.3">
      <c r="A572" t="s">
        <v>28</v>
      </c>
      <c r="B572" s="2" t="s">
        <v>4</v>
      </c>
      <c r="F572" t="s">
        <v>20</v>
      </c>
      <c r="H572">
        <v>20</v>
      </c>
    </row>
    <row r="573" spans="1:8" x14ac:dyDescent="0.3">
      <c r="A573" t="s">
        <v>28</v>
      </c>
      <c r="B573" s="2" t="s">
        <v>2</v>
      </c>
      <c r="F573" t="s">
        <v>65</v>
      </c>
      <c r="H573">
        <v>30</v>
      </c>
    </row>
    <row r="574" spans="1:8" x14ac:dyDescent="0.3">
      <c r="A574" t="s">
        <v>28</v>
      </c>
      <c r="B574" s="2" t="s">
        <v>4</v>
      </c>
      <c r="F574" t="s">
        <v>65</v>
      </c>
      <c r="H574">
        <v>4</v>
      </c>
    </row>
    <row r="575" spans="1:8" x14ac:dyDescent="0.3">
      <c r="A575" t="s">
        <v>28</v>
      </c>
      <c r="B575" s="2" t="s">
        <v>2</v>
      </c>
      <c r="F575" t="s">
        <v>66</v>
      </c>
      <c r="H575">
        <v>239</v>
      </c>
    </row>
    <row r="576" spans="1:8" x14ac:dyDescent="0.3">
      <c r="A576" t="s">
        <v>28</v>
      </c>
      <c r="B576" s="2" t="s">
        <v>4</v>
      </c>
      <c r="F576" t="s">
        <v>66</v>
      </c>
      <c r="H576">
        <v>33</v>
      </c>
    </row>
    <row r="577" spans="1:8" x14ac:dyDescent="0.3">
      <c r="A577" t="s">
        <v>28</v>
      </c>
      <c r="B577" s="2" t="s">
        <v>4</v>
      </c>
      <c r="G577" t="s">
        <v>68</v>
      </c>
      <c r="H577">
        <v>1761</v>
      </c>
    </row>
    <row r="578" spans="1:8" x14ac:dyDescent="0.3">
      <c r="A578" t="s">
        <v>28</v>
      </c>
      <c r="B578" s="2" t="s">
        <v>2</v>
      </c>
      <c r="G578" t="s">
        <v>82</v>
      </c>
      <c r="H578">
        <v>50</v>
      </c>
    </row>
    <row r="579" spans="1:8" x14ac:dyDescent="0.3">
      <c r="A579" t="s">
        <v>28</v>
      </c>
      <c r="B579" s="2" t="s">
        <v>4</v>
      </c>
      <c r="G579" t="s">
        <v>82</v>
      </c>
      <c r="H579">
        <v>7</v>
      </c>
    </row>
    <row r="580" spans="1:8" x14ac:dyDescent="0.3">
      <c r="A580" t="s">
        <v>28</v>
      </c>
      <c r="B580" s="2" t="s">
        <v>2</v>
      </c>
      <c r="G580" t="s">
        <v>83</v>
      </c>
      <c r="H580">
        <v>792</v>
      </c>
    </row>
    <row r="581" spans="1:8" x14ac:dyDescent="0.3">
      <c r="A581" t="s">
        <v>28</v>
      </c>
      <c r="B581" s="2" t="s">
        <v>4</v>
      </c>
      <c r="G581" t="s">
        <v>83</v>
      </c>
      <c r="H581">
        <v>40</v>
      </c>
    </row>
    <row r="582" spans="1:8" x14ac:dyDescent="0.3">
      <c r="A582" t="s">
        <v>28</v>
      </c>
      <c r="B582" s="2" t="s">
        <v>2</v>
      </c>
      <c r="G582" t="s">
        <v>69</v>
      </c>
      <c r="H582">
        <v>337</v>
      </c>
    </row>
    <row r="583" spans="1:8" x14ac:dyDescent="0.3">
      <c r="A583" t="s">
        <v>28</v>
      </c>
      <c r="B583" s="2" t="s">
        <v>4</v>
      </c>
      <c r="G583" t="s">
        <v>69</v>
      </c>
      <c r="H583">
        <v>374</v>
      </c>
    </row>
    <row r="584" spans="1:8" x14ac:dyDescent="0.3">
      <c r="A584" t="s">
        <v>28</v>
      </c>
      <c r="B584" s="2" t="s">
        <v>2</v>
      </c>
      <c r="G584" t="s">
        <v>70</v>
      </c>
      <c r="H584">
        <v>389</v>
      </c>
    </row>
    <row r="585" spans="1:8" x14ac:dyDescent="0.3">
      <c r="A585" t="s">
        <v>28</v>
      </c>
      <c r="B585" s="2" t="s">
        <v>4</v>
      </c>
      <c r="G585" t="s">
        <v>70</v>
      </c>
      <c r="H585">
        <v>12</v>
      </c>
    </row>
    <row r="586" spans="1:8" x14ac:dyDescent="0.3">
      <c r="A586" t="s">
        <v>28</v>
      </c>
      <c r="B586" s="2" t="s">
        <v>2</v>
      </c>
      <c r="G586" t="s">
        <v>84</v>
      </c>
      <c r="H586">
        <v>1178</v>
      </c>
    </row>
    <row r="587" spans="1:8" x14ac:dyDescent="0.3">
      <c r="A587" t="s">
        <v>28</v>
      </c>
      <c r="B587" s="2" t="s">
        <v>4</v>
      </c>
      <c r="G587" t="s">
        <v>84</v>
      </c>
      <c r="H587">
        <v>91</v>
      </c>
    </row>
    <row r="588" spans="1:8" x14ac:dyDescent="0.3">
      <c r="A588" t="s">
        <v>28</v>
      </c>
      <c r="B588" s="2" t="s">
        <v>2</v>
      </c>
      <c r="G588" t="s">
        <v>85</v>
      </c>
      <c r="H588">
        <v>144</v>
      </c>
    </row>
    <row r="589" spans="1:8" x14ac:dyDescent="0.3">
      <c r="A589" t="s">
        <v>28</v>
      </c>
      <c r="B589" s="2" t="s">
        <v>4</v>
      </c>
      <c r="G589" t="s">
        <v>85</v>
      </c>
      <c r="H589">
        <v>10</v>
      </c>
    </row>
    <row r="590" spans="1:8" x14ac:dyDescent="0.3">
      <c r="A590" t="s">
        <v>28</v>
      </c>
      <c r="B590" s="2" t="s">
        <v>2</v>
      </c>
      <c r="G590" t="s">
        <v>71</v>
      </c>
      <c r="H590">
        <v>2882</v>
      </c>
    </row>
    <row r="591" spans="1:8" x14ac:dyDescent="0.3">
      <c r="A591" t="s">
        <v>28</v>
      </c>
      <c r="B591" s="2" t="s">
        <v>4</v>
      </c>
      <c r="G591" t="s">
        <v>71</v>
      </c>
      <c r="H591">
        <v>240</v>
      </c>
    </row>
    <row r="592" spans="1:8" x14ac:dyDescent="0.3">
      <c r="A592" t="s">
        <v>28</v>
      </c>
      <c r="B592" s="2" t="s">
        <v>2</v>
      </c>
      <c r="G592" t="s">
        <v>72</v>
      </c>
      <c r="H592">
        <v>486</v>
      </c>
    </row>
    <row r="593" spans="1:8" x14ac:dyDescent="0.3">
      <c r="A593" t="s">
        <v>28</v>
      </c>
      <c r="B593" s="2" t="s">
        <v>4</v>
      </c>
      <c r="G593" t="s">
        <v>72</v>
      </c>
      <c r="H593">
        <v>207</v>
      </c>
    </row>
    <row r="594" spans="1:8" x14ac:dyDescent="0.3">
      <c r="A594" t="s">
        <v>28</v>
      </c>
      <c r="B594" s="2" t="s">
        <v>56</v>
      </c>
      <c r="G594" t="s">
        <v>72</v>
      </c>
      <c r="H594">
        <v>2</v>
      </c>
    </row>
    <row r="595" spans="1:8" x14ac:dyDescent="0.3">
      <c r="A595" t="s">
        <v>29</v>
      </c>
      <c r="B595" s="2" t="s">
        <v>2</v>
      </c>
      <c r="C595" s="4" t="s">
        <v>13</v>
      </c>
      <c r="H595" s="3">
        <v>99</v>
      </c>
    </row>
    <row r="596" spans="1:8" x14ac:dyDescent="0.3">
      <c r="A596" t="s">
        <v>29</v>
      </c>
      <c r="B596" s="2" t="s">
        <v>4</v>
      </c>
      <c r="C596" s="4" t="s">
        <v>13</v>
      </c>
      <c r="H596" s="3">
        <v>15</v>
      </c>
    </row>
    <row r="597" spans="1:8" x14ac:dyDescent="0.3">
      <c r="A597" t="s">
        <v>29</v>
      </c>
      <c r="B597" s="2" t="s">
        <v>2</v>
      </c>
      <c r="C597" s="4" t="s">
        <v>104</v>
      </c>
      <c r="H597" s="3">
        <v>30</v>
      </c>
    </row>
    <row r="598" spans="1:8" x14ac:dyDescent="0.3">
      <c r="A598" t="s">
        <v>29</v>
      </c>
      <c r="B598" s="2" t="s">
        <v>4</v>
      </c>
      <c r="C598" s="4" t="s">
        <v>104</v>
      </c>
      <c r="H598" s="3">
        <v>7</v>
      </c>
    </row>
    <row r="599" spans="1:8" x14ac:dyDescent="0.3">
      <c r="A599" t="s">
        <v>29</v>
      </c>
      <c r="B599" s="2" t="s">
        <v>2</v>
      </c>
      <c r="C599" s="4" t="s">
        <v>7</v>
      </c>
      <c r="H599" s="3">
        <f>1621+39</f>
        <v>1660</v>
      </c>
    </row>
    <row r="600" spans="1:8" x14ac:dyDescent="0.3">
      <c r="A600" t="s">
        <v>29</v>
      </c>
      <c r="B600" s="2" t="s">
        <v>4</v>
      </c>
      <c r="C600" s="4" t="s">
        <v>7</v>
      </c>
      <c r="H600" s="3">
        <v>407</v>
      </c>
    </row>
    <row r="601" spans="1:8" x14ac:dyDescent="0.3">
      <c r="A601" t="s">
        <v>29</v>
      </c>
      <c r="B601" s="2" t="s">
        <v>2</v>
      </c>
      <c r="C601" s="4" t="s">
        <v>103</v>
      </c>
      <c r="H601" s="3">
        <v>293</v>
      </c>
    </row>
    <row r="602" spans="1:8" x14ac:dyDescent="0.3">
      <c r="A602" t="s">
        <v>29</v>
      </c>
      <c r="B602" s="2" t="s">
        <v>4</v>
      </c>
      <c r="C602" s="4" t="s">
        <v>103</v>
      </c>
      <c r="H602" s="3">
        <v>127</v>
      </c>
    </row>
    <row r="603" spans="1:8" x14ac:dyDescent="0.3">
      <c r="A603" t="s">
        <v>29</v>
      </c>
      <c r="B603" s="2" t="s">
        <v>2</v>
      </c>
      <c r="C603" s="4" t="s">
        <v>79</v>
      </c>
      <c r="H603" s="3">
        <v>23</v>
      </c>
    </row>
    <row r="604" spans="1:8" x14ac:dyDescent="0.3">
      <c r="A604" t="s">
        <v>29</v>
      </c>
      <c r="B604" s="2" t="s">
        <v>4</v>
      </c>
      <c r="C604" s="4" t="s">
        <v>79</v>
      </c>
      <c r="H604" s="3">
        <v>10</v>
      </c>
    </row>
    <row r="605" spans="1:8" x14ac:dyDescent="0.3">
      <c r="A605" t="s">
        <v>29</v>
      </c>
      <c r="B605" s="2" t="s">
        <v>2</v>
      </c>
      <c r="C605" s="4" t="s">
        <v>105</v>
      </c>
      <c r="H605" s="3">
        <v>154</v>
      </c>
    </row>
    <row r="606" spans="1:8" x14ac:dyDescent="0.3">
      <c r="A606" t="s">
        <v>29</v>
      </c>
      <c r="B606" s="2" t="s">
        <v>4</v>
      </c>
      <c r="C606" s="4" t="s">
        <v>105</v>
      </c>
      <c r="H606" s="3">
        <v>22</v>
      </c>
    </row>
    <row r="607" spans="1:8" x14ac:dyDescent="0.3">
      <c r="A607" t="s">
        <v>29</v>
      </c>
      <c r="B607" s="2" t="s">
        <v>2</v>
      </c>
      <c r="C607" s="4" t="s">
        <v>58</v>
      </c>
      <c r="H607" s="3">
        <v>52</v>
      </c>
    </row>
    <row r="608" spans="1:8" x14ac:dyDescent="0.3">
      <c r="A608" t="s">
        <v>29</v>
      </c>
      <c r="B608" s="2" t="s">
        <v>4</v>
      </c>
      <c r="C608" s="4" t="s">
        <v>58</v>
      </c>
      <c r="H608" s="3">
        <v>4</v>
      </c>
    </row>
    <row r="609" spans="1:8" x14ac:dyDescent="0.3">
      <c r="A609" t="s">
        <v>29</v>
      </c>
      <c r="B609" s="2" t="s">
        <v>2</v>
      </c>
      <c r="C609" s="4" t="s">
        <v>59</v>
      </c>
      <c r="H609" s="3">
        <v>762</v>
      </c>
    </row>
    <row r="610" spans="1:8" x14ac:dyDescent="0.3">
      <c r="A610" t="s">
        <v>29</v>
      </c>
      <c r="B610" s="2" t="s">
        <v>4</v>
      </c>
      <c r="C610" s="4" t="s">
        <v>59</v>
      </c>
      <c r="H610" s="3">
        <v>117</v>
      </c>
    </row>
    <row r="611" spans="1:8" x14ac:dyDescent="0.3">
      <c r="A611" t="s">
        <v>29</v>
      </c>
      <c r="B611" s="2" t="s">
        <v>56</v>
      </c>
      <c r="C611" s="4" t="s">
        <v>59</v>
      </c>
      <c r="H611" s="3">
        <v>1</v>
      </c>
    </row>
    <row r="612" spans="1:8" x14ac:dyDescent="0.3">
      <c r="A612" t="s">
        <v>29</v>
      </c>
      <c r="B612" s="2" t="s">
        <v>2</v>
      </c>
      <c r="D612" t="s">
        <v>81</v>
      </c>
      <c r="H612">
        <v>34</v>
      </c>
    </row>
    <row r="613" spans="1:8" x14ac:dyDescent="0.3">
      <c r="A613" t="s">
        <v>29</v>
      </c>
      <c r="B613" s="2" t="s">
        <v>4</v>
      </c>
      <c r="D613" t="s">
        <v>81</v>
      </c>
      <c r="H613">
        <v>14</v>
      </c>
    </row>
    <row r="614" spans="1:8" x14ac:dyDescent="0.3">
      <c r="A614" t="s">
        <v>29</v>
      </c>
      <c r="B614" s="2" t="s">
        <v>2</v>
      </c>
      <c r="D614" t="s">
        <v>73</v>
      </c>
      <c r="H614">
        <v>10</v>
      </c>
    </row>
    <row r="615" spans="1:8" x14ac:dyDescent="0.3">
      <c r="A615" t="s">
        <v>29</v>
      </c>
      <c r="B615" s="2" t="s">
        <v>4</v>
      </c>
      <c r="D615" t="s">
        <v>73</v>
      </c>
      <c r="H615">
        <v>13</v>
      </c>
    </row>
    <row r="616" spans="1:8" x14ac:dyDescent="0.3">
      <c r="A616" t="s">
        <v>29</v>
      </c>
      <c r="B616" s="2" t="s">
        <v>2</v>
      </c>
      <c r="D616" t="s">
        <v>74</v>
      </c>
      <c r="H616">
        <v>6</v>
      </c>
    </row>
    <row r="617" spans="1:8" x14ac:dyDescent="0.3">
      <c r="A617" t="s">
        <v>29</v>
      </c>
      <c r="B617" s="2" t="s">
        <v>4</v>
      </c>
      <c r="D617" t="s">
        <v>74</v>
      </c>
      <c r="H617">
        <v>3</v>
      </c>
    </row>
    <row r="618" spans="1:8" x14ac:dyDescent="0.3">
      <c r="A618" t="s">
        <v>29</v>
      </c>
      <c r="B618" s="2" t="s">
        <v>2</v>
      </c>
      <c r="D618" t="s">
        <v>3</v>
      </c>
      <c r="H618">
        <v>1</v>
      </c>
    </row>
    <row r="619" spans="1:8" x14ac:dyDescent="0.3">
      <c r="A619" t="s">
        <v>29</v>
      </c>
      <c r="B619" s="2" t="s">
        <v>4</v>
      </c>
      <c r="D619" t="s">
        <v>3</v>
      </c>
      <c r="H619">
        <v>1</v>
      </c>
    </row>
    <row r="620" spans="1:8" x14ac:dyDescent="0.3">
      <c r="A620" t="s">
        <v>29</v>
      </c>
      <c r="B620" s="2" t="s">
        <v>2</v>
      </c>
      <c r="D620" t="s">
        <v>9</v>
      </c>
      <c r="H620">
        <v>16</v>
      </c>
    </row>
    <row r="621" spans="1:8" x14ac:dyDescent="0.3">
      <c r="A621" t="s">
        <v>29</v>
      </c>
      <c r="B621" s="2" t="s">
        <v>4</v>
      </c>
      <c r="D621" t="s">
        <v>9</v>
      </c>
      <c r="H621">
        <v>20</v>
      </c>
    </row>
    <row r="622" spans="1:8" x14ac:dyDescent="0.3">
      <c r="A622" t="s">
        <v>29</v>
      </c>
      <c r="B622" s="2" t="s">
        <v>2</v>
      </c>
      <c r="D622" t="s">
        <v>75</v>
      </c>
      <c r="H622">
        <v>1</v>
      </c>
    </row>
    <row r="623" spans="1:8" x14ac:dyDescent="0.3">
      <c r="A623" t="s">
        <v>29</v>
      </c>
      <c r="B623" s="2" t="s">
        <v>2</v>
      </c>
      <c r="D623" t="s">
        <v>11</v>
      </c>
      <c r="H623">
        <v>306</v>
      </c>
    </row>
    <row r="624" spans="1:8" x14ac:dyDescent="0.3">
      <c r="A624" t="s">
        <v>29</v>
      </c>
      <c r="B624" s="2" t="s">
        <v>4</v>
      </c>
      <c r="D624" t="s">
        <v>11</v>
      </c>
      <c r="H624">
        <v>144</v>
      </c>
    </row>
    <row r="625" spans="1:8" x14ac:dyDescent="0.3">
      <c r="A625" t="s">
        <v>29</v>
      </c>
      <c r="B625" s="2" t="s">
        <v>2</v>
      </c>
      <c r="D625" t="s">
        <v>80</v>
      </c>
      <c r="H625">
        <v>639</v>
      </c>
    </row>
    <row r="626" spans="1:8" x14ac:dyDescent="0.3">
      <c r="A626" t="s">
        <v>29</v>
      </c>
      <c r="B626" s="2" t="s">
        <v>4</v>
      </c>
      <c r="D626" t="s">
        <v>80</v>
      </c>
      <c r="H626">
        <v>170</v>
      </c>
    </row>
    <row r="627" spans="1:8" x14ac:dyDescent="0.3">
      <c r="A627" t="s">
        <v>29</v>
      </c>
      <c r="B627" s="2" t="s">
        <v>56</v>
      </c>
      <c r="D627" t="s">
        <v>80</v>
      </c>
      <c r="H627">
        <v>1</v>
      </c>
    </row>
    <row r="628" spans="1:8" x14ac:dyDescent="0.3">
      <c r="A628" t="s">
        <v>29</v>
      </c>
      <c r="B628" s="2" t="s">
        <v>2</v>
      </c>
      <c r="D628" t="s">
        <v>8</v>
      </c>
      <c r="H628">
        <v>4</v>
      </c>
    </row>
    <row r="629" spans="1:8" x14ac:dyDescent="0.3">
      <c r="A629" t="s">
        <v>29</v>
      </c>
      <c r="B629" s="2" t="s">
        <v>4</v>
      </c>
      <c r="D629" t="s">
        <v>8</v>
      </c>
      <c r="H629">
        <v>1</v>
      </c>
    </row>
    <row r="630" spans="1:8" x14ac:dyDescent="0.3">
      <c r="A630" t="s">
        <v>29</v>
      </c>
      <c r="B630" s="2" t="s">
        <v>2</v>
      </c>
      <c r="D630" t="s">
        <v>76</v>
      </c>
      <c r="H630">
        <v>73</v>
      </c>
    </row>
    <row r="631" spans="1:8" x14ac:dyDescent="0.3">
      <c r="A631" t="s">
        <v>29</v>
      </c>
      <c r="B631" s="2" t="s">
        <v>2</v>
      </c>
      <c r="D631" t="s">
        <v>10</v>
      </c>
      <c r="H631">
        <v>1</v>
      </c>
    </row>
    <row r="632" spans="1:8" x14ac:dyDescent="0.3">
      <c r="A632" t="s">
        <v>29</v>
      </c>
      <c r="B632" s="2" t="s">
        <v>2</v>
      </c>
      <c r="D632" t="s">
        <v>14</v>
      </c>
      <c r="H632">
        <v>21</v>
      </c>
    </row>
    <row r="633" spans="1:8" x14ac:dyDescent="0.3">
      <c r="A633" t="s">
        <v>29</v>
      </c>
      <c r="B633" s="2" t="s">
        <v>4</v>
      </c>
      <c r="D633" t="s">
        <v>14</v>
      </c>
      <c r="H633">
        <v>15</v>
      </c>
    </row>
    <row r="634" spans="1:8" x14ac:dyDescent="0.3">
      <c r="A634" t="s">
        <v>29</v>
      </c>
      <c r="B634" s="2" t="s">
        <v>2</v>
      </c>
      <c r="D634" t="s">
        <v>15</v>
      </c>
      <c r="H634">
        <v>15</v>
      </c>
    </row>
    <row r="635" spans="1:8" x14ac:dyDescent="0.3">
      <c r="A635" t="s">
        <v>29</v>
      </c>
      <c r="B635" s="2" t="s">
        <v>4</v>
      </c>
      <c r="D635" t="s">
        <v>15</v>
      </c>
      <c r="H635">
        <v>2</v>
      </c>
    </row>
    <row r="636" spans="1:8" x14ac:dyDescent="0.3">
      <c r="A636" t="s">
        <v>29</v>
      </c>
      <c r="B636" s="2" t="s">
        <v>2</v>
      </c>
      <c r="D636" t="s">
        <v>17</v>
      </c>
      <c r="H636">
        <v>29</v>
      </c>
    </row>
    <row r="637" spans="1:8" x14ac:dyDescent="0.3">
      <c r="A637" t="s">
        <v>29</v>
      </c>
      <c r="B637" s="2" t="s">
        <v>2</v>
      </c>
      <c r="D637" t="s">
        <v>6</v>
      </c>
      <c r="H637">
        <v>3</v>
      </c>
    </row>
    <row r="638" spans="1:8" x14ac:dyDescent="0.3">
      <c r="A638" t="s">
        <v>29</v>
      </c>
      <c r="B638" s="2" t="s">
        <v>4</v>
      </c>
      <c r="D638" t="s">
        <v>6</v>
      </c>
      <c r="H638">
        <v>1</v>
      </c>
    </row>
    <row r="639" spans="1:8" x14ac:dyDescent="0.3">
      <c r="A639" t="s">
        <v>29</v>
      </c>
      <c r="B639" s="2" t="s">
        <v>2</v>
      </c>
      <c r="D639" t="s">
        <v>16</v>
      </c>
      <c r="H639">
        <v>9</v>
      </c>
    </row>
    <row r="640" spans="1:8" x14ac:dyDescent="0.3">
      <c r="A640" t="s">
        <v>29</v>
      </c>
      <c r="B640" s="2" t="s">
        <v>2</v>
      </c>
      <c r="D640" t="s">
        <v>78</v>
      </c>
      <c r="H640">
        <f>945+960</f>
        <v>1905</v>
      </c>
    </row>
    <row r="641" spans="1:8" x14ac:dyDescent="0.3">
      <c r="A641" t="s">
        <v>29</v>
      </c>
      <c r="B641" s="2" t="s">
        <v>4</v>
      </c>
      <c r="D641" t="s">
        <v>78</v>
      </c>
      <c r="H641">
        <f>131+194</f>
        <v>325</v>
      </c>
    </row>
    <row r="642" spans="1:8" x14ac:dyDescent="0.3">
      <c r="A642" t="s">
        <v>29</v>
      </c>
      <c r="B642" s="2" t="s">
        <v>2</v>
      </c>
      <c r="E642" t="s">
        <v>21</v>
      </c>
      <c r="H642">
        <v>447</v>
      </c>
    </row>
    <row r="643" spans="1:8" x14ac:dyDescent="0.3">
      <c r="A643" t="s">
        <v>29</v>
      </c>
      <c r="B643" s="2" t="s">
        <v>4</v>
      </c>
      <c r="E643" t="s">
        <v>21</v>
      </c>
      <c r="H643">
        <v>105</v>
      </c>
    </row>
    <row r="644" spans="1:8" x14ac:dyDescent="0.3">
      <c r="A644" t="s">
        <v>29</v>
      </c>
      <c r="B644" s="2" t="s">
        <v>2</v>
      </c>
      <c r="E644" t="s">
        <v>91</v>
      </c>
      <c r="H644">
        <f>393+361</f>
        <v>754</v>
      </c>
    </row>
    <row r="645" spans="1:8" x14ac:dyDescent="0.3">
      <c r="A645" t="s">
        <v>29</v>
      </c>
      <c r="B645" s="2" t="s">
        <v>4</v>
      </c>
      <c r="E645" t="s">
        <v>91</v>
      </c>
      <c r="H645">
        <f>79+93</f>
        <v>172</v>
      </c>
    </row>
    <row r="646" spans="1:8" x14ac:dyDescent="0.3">
      <c r="A646" t="s">
        <v>29</v>
      </c>
      <c r="B646" s="2" t="s">
        <v>2</v>
      </c>
      <c r="E646" t="s">
        <v>90</v>
      </c>
      <c r="H646">
        <v>665</v>
      </c>
    </row>
    <row r="647" spans="1:8" x14ac:dyDescent="0.3">
      <c r="A647" t="s">
        <v>29</v>
      </c>
      <c r="B647" s="2" t="s">
        <v>4</v>
      </c>
      <c r="E647" t="s">
        <v>90</v>
      </c>
      <c r="H647">
        <v>128</v>
      </c>
    </row>
    <row r="648" spans="1:8" x14ac:dyDescent="0.3">
      <c r="A648" t="s">
        <v>29</v>
      </c>
      <c r="B648" s="2" t="s">
        <v>2</v>
      </c>
      <c r="E648" t="s">
        <v>89</v>
      </c>
      <c r="H648">
        <v>416</v>
      </c>
    </row>
    <row r="649" spans="1:8" x14ac:dyDescent="0.3">
      <c r="A649" t="s">
        <v>29</v>
      </c>
      <c r="B649" s="2" t="s">
        <v>4</v>
      </c>
      <c r="E649" t="s">
        <v>89</v>
      </c>
      <c r="H649">
        <v>97</v>
      </c>
    </row>
    <row r="650" spans="1:8" x14ac:dyDescent="0.3">
      <c r="A650" t="s">
        <v>29</v>
      </c>
      <c r="B650" s="2" t="s">
        <v>2</v>
      </c>
      <c r="E650" t="s">
        <v>60</v>
      </c>
      <c r="H650">
        <v>19</v>
      </c>
    </row>
    <row r="651" spans="1:8" x14ac:dyDescent="0.3">
      <c r="A651" t="s">
        <v>29</v>
      </c>
      <c r="B651" s="2" t="s">
        <v>4</v>
      </c>
      <c r="E651" t="s">
        <v>60</v>
      </c>
      <c r="H651">
        <v>1</v>
      </c>
    </row>
    <row r="652" spans="1:8" x14ac:dyDescent="0.3">
      <c r="A652" t="s">
        <v>29</v>
      </c>
      <c r="B652" s="2" t="s">
        <v>2</v>
      </c>
      <c r="E652" t="s">
        <v>61</v>
      </c>
      <c r="H652">
        <v>69</v>
      </c>
    </row>
    <row r="653" spans="1:8" x14ac:dyDescent="0.3">
      <c r="A653" t="s">
        <v>29</v>
      </c>
      <c r="B653" s="2" t="s">
        <v>4</v>
      </c>
      <c r="E653" t="s">
        <v>61</v>
      </c>
      <c r="H653">
        <v>26</v>
      </c>
    </row>
    <row r="654" spans="1:8" x14ac:dyDescent="0.3">
      <c r="A654" t="s">
        <v>29</v>
      </c>
      <c r="B654" s="2" t="s">
        <v>2</v>
      </c>
      <c r="E654" t="s">
        <v>92</v>
      </c>
      <c r="H654">
        <v>3</v>
      </c>
    </row>
    <row r="655" spans="1:8" x14ac:dyDescent="0.3">
      <c r="A655" t="s">
        <v>29</v>
      </c>
      <c r="B655" s="2" t="s">
        <v>4</v>
      </c>
      <c r="E655" t="s">
        <v>92</v>
      </c>
      <c r="H655">
        <v>1</v>
      </c>
    </row>
    <row r="656" spans="1:8" x14ac:dyDescent="0.3">
      <c r="A656" t="s">
        <v>29</v>
      </c>
      <c r="B656" s="2" t="s">
        <v>2</v>
      </c>
      <c r="E656" t="s">
        <v>62</v>
      </c>
      <c r="H656">
        <v>700</v>
      </c>
    </row>
    <row r="657" spans="1:8" x14ac:dyDescent="0.3">
      <c r="A657" t="s">
        <v>29</v>
      </c>
      <c r="B657" s="2" t="s">
        <v>4</v>
      </c>
      <c r="E657" t="s">
        <v>62</v>
      </c>
      <c r="H657">
        <v>179</v>
      </c>
    </row>
    <row r="658" spans="1:8" x14ac:dyDescent="0.3">
      <c r="A658" t="s">
        <v>29</v>
      </c>
      <c r="B658" s="2" t="s">
        <v>56</v>
      </c>
      <c r="E658" t="s">
        <v>62</v>
      </c>
      <c r="H658">
        <v>1</v>
      </c>
    </row>
    <row r="659" spans="1:8" x14ac:dyDescent="0.3">
      <c r="A659" t="s">
        <v>29</v>
      </c>
      <c r="B659" s="2" t="s">
        <v>2</v>
      </c>
      <c r="F659" t="s">
        <v>64</v>
      </c>
      <c r="H659">
        <v>759</v>
      </c>
    </row>
    <row r="660" spans="1:8" x14ac:dyDescent="0.3">
      <c r="A660" t="s">
        <v>29</v>
      </c>
      <c r="B660" s="2" t="s">
        <v>4</v>
      </c>
      <c r="F660" t="s">
        <v>64</v>
      </c>
      <c r="H660">
        <v>217</v>
      </c>
    </row>
    <row r="661" spans="1:8" x14ac:dyDescent="0.3">
      <c r="A661" t="s">
        <v>29</v>
      </c>
      <c r="B661" s="2" t="s">
        <v>2</v>
      </c>
      <c r="F661" t="s">
        <v>18</v>
      </c>
      <c r="H661">
        <v>1843</v>
      </c>
    </row>
    <row r="662" spans="1:8" x14ac:dyDescent="0.3">
      <c r="A662" t="s">
        <v>29</v>
      </c>
      <c r="B662" s="2" t="s">
        <v>4</v>
      </c>
      <c r="F662" t="s">
        <v>18</v>
      </c>
      <c r="H662">
        <v>405</v>
      </c>
    </row>
    <row r="663" spans="1:8" x14ac:dyDescent="0.3">
      <c r="A663" t="s">
        <v>29</v>
      </c>
      <c r="B663" s="2" t="s">
        <v>2</v>
      </c>
      <c r="F663" t="s">
        <v>19</v>
      </c>
      <c r="H663">
        <v>23</v>
      </c>
    </row>
    <row r="664" spans="1:8" x14ac:dyDescent="0.3">
      <c r="A664" t="s">
        <v>29</v>
      </c>
      <c r="B664" s="2" t="s">
        <v>4</v>
      </c>
      <c r="F664" t="s">
        <v>19</v>
      </c>
      <c r="H664">
        <v>10</v>
      </c>
    </row>
    <row r="665" spans="1:8" x14ac:dyDescent="0.3">
      <c r="A665" t="s">
        <v>29</v>
      </c>
      <c r="B665" s="2" t="s">
        <v>2</v>
      </c>
      <c r="F665" t="s">
        <v>20</v>
      </c>
      <c r="H665">
        <v>4</v>
      </c>
    </row>
    <row r="666" spans="1:8" x14ac:dyDescent="0.3">
      <c r="A666" t="s">
        <v>29</v>
      </c>
      <c r="B666" s="2" t="s">
        <v>4</v>
      </c>
      <c r="F666" t="s">
        <v>20</v>
      </c>
      <c r="H666">
        <v>3</v>
      </c>
    </row>
    <row r="667" spans="1:8" x14ac:dyDescent="0.3">
      <c r="A667" t="s">
        <v>29</v>
      </c>
      <c r="B667" s="2" t="s">
        <v>2</v>
      </c>
      <c r="F667" t="s">
        <v>66</v>
      </c>
      <c r="H667">
        <v>444</v>
      </c>
    </row>
    <row r="668" spans="1:8" x14ac:dyDescent="0.3">
      <c r="A668" t="s">
        <v>29</v>
      </c>
      <c r="B668" s="2" t="s">
        <v>4</v>
      </c>
      <c r="F668" t="s">
        <v>66</v>
      </c>
      <c r="H668">
        <v>74</v>
      </c>
    </row>
    <row r="669" spans="1:8" x14ac:dyDescent="0.3">
      <c r="A669" t="s">
        <v>29</v>
      </c>
      <c r="B669" s="2" t="s">
        <v>56</v>
      </c>
      <c r="F669" t="s">
        <v>66</v>
      </c>
      <c r="H669">
        <v>1</v>
      </c>
    </row>
    <row r="670" spans="1:8" x14ac:dyDescent="0.3">
      <c r="A670" t="s">
        <v>29</v>
      </c>
      <c r="B670" s="2" t="s">
        <v>4</v>
      </c>
      <c r="G670" t="s">
        <v>68</v>
      </c>
      <c r="H670">
        <v>314</v>
      </c>
    </row>
    <row r="671" spans="1:8" x14ac:dyDescent="0.3">
      <c r="A671" t="s">
        <v>29</v>
      </c>
      <c r="B671" s="2" t="s">
        <v>2</v>
      </c>
      <c r="G671" t="s">
        <v>82</v>
      </c>
      <c r="H671">
        <v>77</v>
      </c>
    </row>
    <row r="672" spans="1:8" x14ac:dyDescent="0.3">
      <c r="A672" t="s">
        <v>29</v>
      </c>
      <c r="B672" s="2" t="s">
        <v>4</v>
      </c>
      <c r="G672" t="s">
        <v>82</v>
      </c>
      <c r="H672">
        <v>6</v>
      </c>
    </row>
    <row r="673" spans="1:8" x14ac:dyDescent="0.3">
      <c r="A673" t="s">
        <v>29</v>
      </c>
      <c r="B673" s="2" t="s">
        <v>2</v>
      </c>
      <c r="G673" t="s">
        <v>83</v>
      </c>
      <c r="H673">
        <v>278</v>
      </c>
    </row>
    <row r="674" spans="1:8" x14ac:dyDescent="0.3">
      <c r="A674" t="s">
        <v>29</v>
      </c>
      <c r="B674" s="2" t="s">
        <v>4</v>
      </c>
      <c r="G674" t="s">
        <v>83</v>
      </c>
      <c r="H674">
        <v>20</v>
      </c>
    </row>
    <row r="675" spans="1:8" x14ac:dyDescent="0.3">
      <c r="A675" t="s">
        <v>29</v>
      </c>
      <c r="B675" s="2" t="s">
        <v>2</v>
      </c>
      <c r="G675" t="s">
        <v>69</v>
      </c>
      <c r="H675">
        <v>148</v>
      </c>
    </row>
    <row r="676" spans="1:8" x14ac:dyDescent="0.3">
      <c r="A676" t="s">
        <v>29</v>
      </c>
      <c r="B676" s="2" t="s">
        <v>4</v>
      </c>
      <c r="G676" t="s">
        <v>69</v>
      </c>
      <c r="H676">
        <v>89</v>
      </c>
    </row>
    <row r="677" spans="1:8" x14ac:dyDescent="0.3">
      <c r="A677" t="s">
        <v>29</v>
      </c>
      <c r="B677" s="2" t="s">
        <v>2</v>
      </c>
      <c r="G677" t="s">
        <v>70</v>
      </c>
      <c r="H677">
        <v>265</v>
      </c>
    </row>
    <row r="678" spans="1:8" x14ac:dyDescent="0.3">
      <c r="A678" t="s">
        <v>29</v>
      </c>
      <c r="B678" s="2" t="s">
        <v>4</v>
      </c>
      <c r="G678" t="s">
        <v>70</v>
      </c>
      <c r="H678">
        <v>23</v>
      </c>
    </row>
    <row r="679" spans="1:8" x14ac:dyDescent="0.3">
      <c r="A679" t="s">
        <v>29</v>
      </c>
      <c r="B679" s="2" t="s">
        <v>2</v>
      </c>
      <c r="G679" t="s">
        <v>84</v>
      </c>
      <c r="H679">
        <v>284</v>
      </c>
    </row>
    <row r="680" spans="1:8" x14ac:dyDescent="0.3">
      <c r="A680" t="s">
        <v>29</v>
      </c>
      <c r="B680" s="2" t="s">
        <v>4</v>
      </c>
      <c r="G680" t="s">
        <v>84</v>
      </c>
      <c r="H680">
        <v>9</v>
      </c>
    </row>
    <row r="681" spans="1:8" x14ac:dyDescent="0.3">
      <c r="A681" t="s">
        <v>29</v>
      </c>
      <c r="B681" s="2" t="s">
        <v>2</v>
      </c>
      <c r="G681" t="s">
        <v>85</v>
      </c>
      <c r="H681">
        <v>254</v>
      </c>
    </row>
    <row r="682" spans="1:8" x14ac:dyDescent="0.3">
      <c r="A682" t="s">
        <v>29</v>
      </c>
      <c r="B682" s="2" t="s">
        <v>4</v>
      </c>
      <c r="G682" t="s">
        <v>85</v>
      </c>
      <c r="H682">
        <v>12</v>
      </c>
    </row>
    <row r="683" spans="1:8" x14ac:dyDescent="0.3">
      <c r="A683" t="s">
        <v>29</v>
      </c>
      <c r="B683" s="2" t="s">
        <v>2</v>
      </c>
      <c r="G683" t="s">
        <v>71</v>
      </c>
      <c r="H683">
        <v>677</v>
      </c>
    </row>
    <row r="684" spans="1:8" x14ac:dyDescent="0.3">
      <c r="A684" t="s">
        <v>29</v>
      </c>
      <c r="B684" s="2" t="s">
        <v>4</v>
      </c>
      <c r="G684" t="s">
        <v>71</v>
      </c>
      <c r="H684">
        <v>22</v>
      </c>
    </row>
    <row r="685" spans="1:8" x14ac:dyDescent="0.3">
      <c r="A685" t="s">
        <v>29</v>
      </c>
      <c r="B685" s="2" t="s">
        <v>2</v>
      </c>
      <c r="G685" t="s">
        <v>72</v>
      </c>
      <c r="H685">
        <v>1090</v>
      </c>
    </row>
    <row r="686" spans="1:8" x14ac:dyDescent="0.3">
      <c r="A686" t="s">
        <v>29</v>
      </c>
      <c r="B686" s="2" t="s">
        <v>4</v>
      </c>
      <c r="G686" t="s">
        <v>72</v>
      </c>
      <c r="H686">
        <v>214</v>
      </c>
    </row>
    <row r="687" spans="1:8" x14ac:dyDescent="0.3">
      <c r="A687" t="s">
        <v>29</v>
      </c>
      <c r="B687" s="2" t="s">
        <v>56</v>
      </c>
      <c r="G687" t="s">
        <v>72</v>
      </c>
      <c r="H687">
        <v>1</v>
      </c>
    </row>
    <row r="688" spans="1:8" x14ac:dyDescent="0.3">
      <c r="A688" t="s">
        <v>30</v>
      </c>
      <c r="B688" s="2" t="s">
        <v>2</v>
      </c>
      <c r="C688" s="4" t="s">
        <v>13</v>
      </c>
      <c r="H688" s="3">
        <v>3</v>
      </c>
    </row>
    <row r="689" spans="1:8" x14ac:dyDescent="0.3">
      <c r="A689" t="s">
        <v>30</v>
      </c>
      <c r="B689" s="2" t="s">
        <v>2</v>
      </c>
      <c r="C689" s="4" t="s">
        <v>104</v>
      </c>
      <c r="H689" s="3">
        <v>5</v>
      </c>
    </row>
    <row r="690" spans="1:8" x14ac:dyDescent="0.3">
      <c r="A690" t="s">
        <v>30</v>
      </c>
      <c r="B690" s="2" t="s">
        <v>2</v>
      </c>
      <c r="C690" s="4" t="s">
        <v>7</v>
      </c>
      <c r="H690" s="3">
        <v>328</v>
      </c>
    </row>
    <row r="691" spans="1:8" x14ac:dyDescent="0.3">
      <c r="A691" t="s">
        <v>30</v>
      </c>
      <c r="B691" s="2" t="s">
        <v>4</v>
      </c>
      <c r="C691" s="4" t="s">
        <v>7</v>
      </c>
      <c r="H691" s="3">
        <v>117</v>
      </c>
    </row>
    <row r="692" spans="1:8" x14ac:dyDescent="0.3">
      <c r="A692" t="s">
        <v>30</v>
      </c>
      <c r="B692" s="2" t="s">
        <v>2</v>
      </c>
      <c r="C692" s="4" t="s">
        <v>103</v>
      </c>
      <c r="H692" s="3">
        <v>134</v>
      </c>
    </row>
    <row r="693" spans="1:8" x14ac:dyDescent="0.3">
      <c r="A693" t="s">
        <v>30</v>
      </c>
      <c r="B693" s="2" t="s">
        <v>4</v>
      </c>
      <c r="C693" s="4" t="s">
        <v>103</v>
      </c>
      <c r="H693" s="3">
        <v>55</v>
      </c>
    </row>
    <row r="694" spans="1:8" x14ac:dyDescent="0.3">
      <c r="A694" t="s">
        <v>30</v>
      </c>
      <c r="B694" s="2" t="s">
        <v>4</v>
      </c>
      <c r="C694" s="4" t="s">
        <v>104</v>
      </c>
      <c r="H694" s="3">
        <v>1</v>
      </c>
    </row>
    <row r="695" spans="1:8" x14ac:dyDescent="0.3">
      <c r="A695" t="s">
        <v>30</v>
      </c>
      <c r="B695" s="2" t="s">
        <v>2</v>
      </c>
      <c r="C695" s="4" t="s">
        <v>79</v>
      </c>
      <c r="H695" s="3">
        <v>1</v>
      </c>
    </row>
    <row r="696" spans="1:8" x14ac:dyDescent="0.3">
      <c r="A696" t="s">
        <v>30</v>
      </c>
      <c r="B696" s="2" t="s">
        <v>2</v>
      </c>
      <c r="D696" t="s">
        <v>16</v>
      </c>
      <c r="H696">
        <v>1</v>
      </c>
    </row>
    <row r="697" spans="1:8" x14ac:dyDescent="0.3">
      <c r="A697" t="s">
        <v>30</v>
      </c>
      <c r="B697" s="2" t="s">
        <v>2</v>
      </c>
      <c r="D697" t="s">
        <v>81</v>
      </c>
      <c r="H697">
        <v>29</v>
      </c>
    </row>
    <row r="698" spans="1:8" x14ac:dyDescent="0.3">
      <c r="A698" t="s">
        <v>30</v>
      </c>
      <c r="B698" s="2" t="s">
        <v>4</v>
      </c>
      <c r="D698" t="s">
        <v>81</v>
      </c>
      <c r="H698">
        <v>11</v>
      </c>
    </row>
    <row r="699" spans="1:8" x14ac:dyDescent="0.3">
      <c r="A699" t="s">
        <v>30</v>
      </c>
      <c r="B699" s="2" t="s">
        <v>4</v>
      </c>
      <c r="D699" t="s">
        <v>73</v>
      </c>
      <c r="H699">
        <v>4</v>
      </c>
    </row>
    <row r="700" spans="1:8" x14ac:dyDescent="0.3">
      <c r="A700" t="s">
        <v>30</v>
      </c>
      <c r="B700" s="2" t="s">
        <v>2</v>
      </c>
      <c r="D700" t="s">
        <v>74</v>
      </c>
      <c r="H700">
        <v>5</v>
      </c>
    </row>
    <row r="701" spans="1:8" x14ac:dyDescent="0.3">
      <c r="A701" t="s">
        <v>30</v>
      </c>
      <c r="B701" s="2" t="s">
        <v>4</v>
      </c>
      <c r="D701" t="s">
        <v>3</v>
      </c>
      <c r="H701">
        <v>1</v>
      </c>
    </row>
    <row r="702" spans="1:8" x14ac:dyDescent="0.3">
      <c r="A702" t="s">
        <v>30</v>
      </c>
      <c r="B702" s="2" t="s">
        <v>2</v>
      </c>
      <c r="D702" t="s">
        <v>9</v>
      </c>
      <c r="H702">
        <v>3</v>
      </c>
    </row>
    <row r="703" spans="1:8" x14ac:dyDescent="0.3">
      <c r="A703" t="s">
        <v>30</v>
      </c>
      <c r="B703" s="2" t="s">
        <v>4</v>
      </c>
      <c r="D703" t="s">
        <v>9</v>
      </c>
      <c r="H703">
        <v>5</v>
      </c>
    </row>
    <row r="704" spans="1:8" x14ac:dyDescent="0.3">
      <c r="A704" t="s">
        <v>30</v>
      </c>
      <c r="B704" s="2" t="s">
        <v>4</v>
      </c>
      <c r="D704" t="s">
        <v>75</v>
      </c>
      <c r="H704">
        <v>1</v>
      </c>
    </row>
    <row r="705" spans="1:8" x14ac:dyDescent="0.3">
      <c r="A705" t="s">
        <v>30</v>
      </c>
      <c r="B705" s="2" t="s">
        <v>2</v>
      </c>
      <c r="D705" t="s">
        <v>11</v>
      </c>
      <c r="H705">
        <v>219</v>
      </c>
    </row>
    <row r="706" spans="1:8" x14ac:dyDescent="0.3">
      <c r="A706" t="s">
        <v>30</v>
      </c>
      <c r="B706" s="2" t="s">
        <v>4</v>
      </c>
      <c r="D706" t="s">
        <v>11</v>
      </c>
      <c r="H706">
        <v>106</v>
      </c>
    </row>
    <row r="707" spans="1:8" x14ac:dyDescent="0.3">
      <c r="A707" t="s">
        <v>30</v>
      </c>
      <c r="B707" s="2" t="s">
        <v>2</v>
      </c>
      <c r="D707" t="s">
        <v>80</v>
      </c>
      <c r="H707">
        <v>105</v>
      </c>
    </row>
    <row r="708" spans="1:8" x14ac:dyDescent="0.3">
      <c r="A708" t="s">
        <v>30</v>
      </c>
      <c r="B708" s="2" t="s">
        <v>4</v>
      </c>
      <c r="D708" t="s">
        <v>80</v>
      </c>
      <c r="H708">
        <v>21</v>
      </c>
    </row>
    <row r="709" spans="1:8" x14ac:dyDescent="0.3">
      <c r="A709" t="s">
        <v>30</v>
      </c>
      <c r="B709" s="2" t="s">
        <v>2</v>
      </c>
      <c r="D709" t="s">
        <v>76</v>
      </c>
      <c r="H709">
        <v>25</v>
      </c>
    </row>
    <row r="710" spans="1:8" x14ac:dyDescent="0.3">
      <c r="A710" t="s">
        <v>30</v>
      </c>
      <c r="B710" s="2" t="s">
        <v>4</v>
      </c>
      <c r="D710" t="s">
        <v>76</v>
      </c>
      <c r="H710">
        <v>1</v>
      </c>
    </row>
    <row r="711" spans="1:8" x14ac:dyDescent="0.3">
      <c r="A711" t="s">
        <v>30</v>
      </c>
      <c r="B711" s="2" t="s">
        <v>2</v>
      </c>
      <c r="D711" t="s">
        <v>14</v>
      </c>
      <c r="H711">
        <v>27</v>
      </c>
    </row>
    <row r="712" spans="1:8" x14ac:dyDescent="0.3">
      <c r="A712" t="s">
        <v>30</v>
      </c>
      <c r="B712" s="2" t="s">
        <v>4</v>
      </c>
      <c r="D712" t="s">
        <v>14</v>
      </c>
      <c r="H712">
        <v>14</v>
      </c>
    </row>
    <row r="713" spans="1:8" x14ac:dyDescent="0.3">
      <c r="A713" t="s">
        <v>30</v>
      </c>
      <c r="B713" s="2" t="s">
        <v>2</v>
      </c>
      <c r="D713" t="s">
        <v>17</v>
      </c>
      <c r="H713">
        <v>23</v>
      </c>
    </row>
    <row r="714" spans="1:8" x14ac:dyDescent="0.3">
      <c r="A714" t="s">
        <v>30</v>
      </c>
      <c r="B714" s="2" t="s">
        <v>4</v>
      </c>
      <c r="D714" t="s">
        <v>17</v>
      </c>
      <c r="H714">
        <v>3</v>
      </c>
    </row>
    <row r="715" spans="1:8" x14ac:dyDescent="0.3">
      <c r="A715" t="s">
        <v>30</v>
      </c>
      <c r="B715" s="2" t="s">
        <v>2</v>
      </c>
      <c r="D715" t="s">
        <v>6</v>
      </c>
      <c r="H715">
        <v>23</v>
      </c>
    </row>
    <row r="716" spans="1:8" x14ac:dyDescent="0.3">
      <c r="A716" t="s">
        <v>30</v>
      </c>
      <c r="B716" s="2" t="s">
        <v>4</v>
      </c>
      <c r="D716" t="s">
        <v>6</v>
      </c>
      <c r="H716">
        <v>3</v>
      </c>
    </row>
    <row r="717" spans="1:8" x14ac:dyDescent="0.3">
      <c r="A717" t="s">
        <v>30</v>
      </c>
      <c r="B717" s="2" t="s">
        <v>4</v>
      </c>
      <c r="D717" t="s">
        <v>78</v>
      </c>
      <c r="H717">
        <v>3</v>
      </c>
    </row>
    <row r="718" spans="1:8" x14ac:dyDescent="0.3">
      <c r="A718" t="s">
        <v>30</v>
      </c>
      <c r="B718" s="2" t="s">
        <v>2</v>
      </c>
      <c r="D718" t="s">
        <v>78</v>
      </c>
      <c r="H718">
        <v>11</v>
      </c>
    </row>
    <row r="719" spans="1:8" x14ac:dyDescent="0.3">
      <c r="A719" t="s">
        <v>30</v>
      </c>
      <c r="B719" s="2" t="s">
        <v>2</v>
      </c>
      <c r="E719" t="s">
        <v>21</v>
      </c>
      <c r="H719">
        <v>28</v>
      </c>
    </row>
    <row r="720" spans="1:8" x14ac:dyDescent="0.3">
      <c r="A720" t="s">
        <v>30</v>
      </c>
      <c r="B720" s="2" t="s">
        <v>4</v>
      </c>
      <c r="E720" t="s">
        <v>21</v>
      </c>
      <c r="H720">
        <v>12</v>
      </c>
    </row>
    <row r="721" spans="1:8" x14ac:dyDescent="0.3">
      <c r="A721" t="s">
        <v>30</v>
      </c>
      <c r="B721" s="2" t="s">
        <v>2</v>
      </c>
      <c r="E721" t="s">
        <v>91</v>
      </c>
      <c r="H721">
        <f>78+34</f>
        <v>112</v>
      </c>
    </row>
    <row r="722" spans="1:8" x14ac:dyDescent="0.3">
      <c r="A722" t="s">
        <v>30</v>
      </c>
      <c r="B722" s="2" t="s">
        <v>4</v>
      </c>
      <c r="E722" t="s">
        <v>91</v>
      </c>
      <c r="H722">
        <f>41+15</f>
        <v>56</v>
      </c>
    </row>
    <row r="723" spans="1:8" x14ac:dyDescent="0.3">
      <c r="A723" t="s">
        <v>30</v>
      </c>
      <c r="B723" s="2" t="s">
        <v>2</v>
      </c>
      <c r="E723" t="s">
        <v>90</v>
      </c>
      <c r="H723">
        <v>172</v>
      </c>
    </row>
    <row r="724" spans="1:8" x14ac:dyDescent="0.3">
      <c r="A724" t="s">
        <v>30</v>
      </c>
      <c r="B724" s="2" t="s">
        <v>4</v>
      </c>
      <c r="E724" t="s">
        <v>90</v>
      </c>
      <c r="H724">
        <v>43</v>
      </c>
    </row>
    <row r="725" spans="1:8" x14ac:dyDescent="0.3">
      <c r="A725" t="s">
        <v>30</v>
      </c>
      <c r="B725" s="2" t="s">
        <v>2</v>
      </c>
      <c r="E725" t="s">
        <v>89</v>
      </c>
      <c r="H725">
        <v>125</v>
      </c>
    </row>
    <row r="726" spans="1:8" x14ac:dyDescent="0.3">
      <c r="A726" t="s">
        <v>30</v>
      </c>
      <c r="B726" s="2" t="s">
        <v>4</v>
      </c>
      <c r="E726" t="s">
        <v>89</v>
      </c>
      <c r="H726">
        <v>41</v>
      </c>
    </row>
    <row r="727" spans="1:8" x14ac:dyDescent="0.3">
      <c r="A727" t="s">
        <v>30</v>
      </c>
      <c r="B727" s="2" t="s">
        <v>2</v>
      </c>
      <c r="E727" t="s">
        <v>60</v>
      </c>
      <c r="H727">
        <v>12</v>
      </c>
    </row>
    <row r="728" spans="1:8" x14ac:dyDescent="0.3">
      <c r="A728" t="s">
        <v>30</v>
      </c>
      <c r="B728" s="2" t="s">
        <v>4</v>
      </c>
      <c r="E728" t="s">
        <v>60</v>
      </c>
      <c r="H728">
        <v>1</v>
      </c>
    </row>
    <row r="729" spans="1:8" x14ac:dyDescent="0.3">
      <c r="A729" t="s">
        <v>30</v>
      </c>
      <c r="B729" s="2" t="s">
        <v>2</v>
      </c>
      <c r="E729" t="s">
        <v>61</v>
      </c>
      <c r="H729">
        <v>21</v>
      </c>
    </row>
    <row r="730" spans="1:8" x14ac:dyDescent="0.3">
      <c r="A730" t="s">
        <v>30</v>
      </c>
      <c r="B730" s="2" t="s">
        <v>4</v>
      </c>
      <c r="E730" t="s">
        <v>61</v>
      </c>
      <c r="H730">
        <v>16</v>
      </c>
    </row>
    <row r="731" spans="1:8" x14ac:dyDescent="0.3">
      <c r="A731" t="s">
        <v>30</v>
      </c>
      <c r="B731" s="2" t="s">
        <v>2</v>
      </c>
      <c r="E731" t="s">
        <v>62</v>
      </c>
      <c r="H731">
        <v>1</v>
      </c>
    </row>
    <row r="732" spans="1:8" x14ac:dyDescent="0.3">
      <c r="A732" t="s">
        <v>30</v>
      </c>
      <c r="B732" s="2" t="s">
        <v>4</v>
      </c>
      <c r="E732" t="s">
        <v>62</v>
      </c>
      <c r="H732">
        <v>4</v>
      </c>
    </row>
    <row r="733" spans="1:8" x14ac:dyDescent="0.3">
      <c r="A733" t="s">
        <v>30</v>
      </c>
      <c r="B733" s="2" t="s">
        <v>2</v>
      </c>
      <c r="F733" t="s">
        <v>64</v>
      </c>
      <c r="H733">
        <v>124</v>
      </c>
    </row>
    <row r="734" spans="1:8" x14ac:dyDescent="0.3">
      <c r="A734" t="s">
        <v>30</v>
      </c>
      <c r="B734" s="2" t="s">
        <v>4</v>
      </c>
      <c r="F734" t="s">
        <v>64</v>
      </c>
      <c r="H734">
        <v>45</v>
      </c>
    </row>
    <row r="735" spans="1:8" x14ac:dyDescent="0.3">
      <c r="A735" t="s">
        <v>30</v>
      </c>
      <c r="B735" s="2" t="s">
        <v>2</v>
      </c>
      <c r="F735" t="s">
        <v>18</v>
      </c>
      <c r="H735">
        <v>330</v>
      </c>
    </row>
    <row r="736" spans="1:8" x14ac:dyDescent="0.3">
      <c r="A736" t="s">
        <v>30</v>
      </c>
      <c r="B736" s="2" t="s">
        <v>4</v>
      </c>
      <c r="F736" t="s">
        <v>18</v>
      </c>
      <c r="H736">
        <v>116</v>
      </c>
    </row>
    <row r="737" spans="1:8" x14ac:dyDescent="0.3">
      <c r="A737" t="s">
        <v>30</v>
      </c>
      <c r="B737" s="2" t="s">
        <v>2</v>
      </c>
      <c r="F737" t="s">
        <v>19</v>
      </c>
      <c r="H737">
        <v>10</v>
      </c>
    </row>
    <row r="738" spans="1:8" x14ac:dyDescent="0.3">
      <c r="A738" t="s">
        <v>30</v>
      </c>
      <c r="B738" s="2" t="s">
        <v>4</v>
      </c>
      <c r="F738" t="s">
        <v>19</v>
      </c>
      <c r="H738">
        <v>7</v>
      </c>
    </row>
    <row r="739" spans="1:8" x14ac:dyDescent="0.3">
      <c r="A739" t="s">
        <v>30</v>
      </c>
      <c r="B739" s="2" t="s">
        <v>2</v>
      </c>
      <c r="F739" t="s">
        <v>20</v>
      </c>
      <c r="H739">
        <v>3</v>
      </c>
    </row>
    <row r="740" spans="1:8" x14ac:dyDescent="0.3">
      <c r="A740" t="s">
        <v>30</v>
      </c>
      <c r="B740" s="2" t="s">
        <v>4</v>
      </c>
      <c r="F740" t="s">
        <v>20</v>
      </c>
      <c r="H740">
        <v>1</v>
      </c>
    </row>
    <row r="741" spans="1:8" x14ac:dyDescent="0.3">
      <c r="A741" t="s">
        <v>30</v>
      </c>
      <c r="B741" s="2" t="s">
        <v>2</v>
      </c>
      <c r="F741" t="s">
        <v>65</v>
      </c>
      <c r="H741">
        <v>4</v>
      </c>
    </row>
    <row r="742" spans="1:8" x14ac:dyDescent="0.3">
      <c r="A742" t="s">
        <v>30</v>
      </c>
      <c r="B742" s="2" t="s">
        <v>4</v>
      </c>
      <c r="F742" t="s">
        <v>65</v>
      </c>
      <c r="H742">
        <v>4</v>
      </c>
    </row>
    <row r="743" spans="1:8" x14ac:dyDescent="0.3">
      <c r="A743" t="s">
        <v>30</v>
      </c>
      <c r="B743" s="2" t="s">
        <v>4</v>
      </c>
      <c r="G743" t="s">
        <v>68</v>
      </c>
      <c r="H743">
        <v>116</v>
      </c>
    </row>
    <row r="744" spans="1:8" x14ac:dyDescent="0.3">
      <c r="A744" t="s">
        <v>30</v>
      </c>
      <c r="B744" s="2" t="s">
        <v>2</v>
      </c>
      <c r="G744" t="s">
        <v>82</v>
      </c>
      <c r="H744">
        <v>22</v>
      </c>
    </row>
    <row r="745" spans="1:8" x14ac:dyDescent="0.3">
      <c r="A745" t="s">
        <v>30</v>
      </c>
      <c r="B745" s="2" t="s">
        <v>4</v>
      </c>
      <c r="G745" t="s">
        <v>82</v>
      </c>
      <c r="H745">
        <v>1</v>
      </c>
    </row>
    <row r="746" spans="1:8" x14ac:dyDescent="0.3">
      <c r="A746" t="s">
        <v>30</v>
      </c>
      <c r="B746" s="2" t="s">
        <v>2</v>
      </c>
      <c r="G746" t="s">
        <v>83</v>
      </c>
      <c r="H746">
        <v>144</v>
      </c>
    </row>
    <row r="747" spans="1:8" x14ac:dyDescent="0.3">
      <c r="A747" t="s">
        <v>30</v>
      </c>
      <c r="B747" s="2" t="s">
        <v>4</v>
      </c>
      <c r="G747" t="s">
        <v>83</v>
      </c>
      <c r="H747">
        <v>16</v>
      </c>
    </row>
    <row r="748" spans="1:8" x14ac:dyDescent="0.3">
      <c r="A748" t="s">
        <v>30</v>
      </c>
      <c r="B748" s="2" t="s">
        <v>2</v>
      </c>
      <c r="G748" t="s">
        <v>69</v>
      </c>
      <c r="H748">
        <v>41</v>
      </c>
    </row>
    <row r="749" spans="1:8" x14ac:dyDescent="0.3">
      <c r="A749" t="s">
        <v>30</v>
      </c>
      <c r="B749" s="2" t="s">
        <v>4</v>
      </c>
      <c r="G749" t="s">
        <v>69</v>
      </c>
      <c r="H749">
        <v>33</v>
      </c>
    </row>
    <row r="750" spans="1:8" x14ac:dyDescent="0.3">
      <c r="A750" t="s">
        <v>30</v>
      </c>
      <c r="B750" s="2" t="s">
        <v>2</v>
      </c>
      <c r="G750" t="s">
        <v>70</v>
      </c>
      <c r="H750">
        <v>75</v>
      </c>
    </row>
    <row r="751" spans="1:8" x14ac:dyDescent="0.3">
      <c r="A751" t="s">
        <v>30</v>
      </c>
      <c r="B751" s="2" t="s">
        <v>4</v>
      </c>
      <c r="G751" t="s">
        <v>70</v>
      </c>
      <c r="H751">
        <v>3</v>
      </c>
    </row>
    <row r="752" spans="1:8" x14ac:dyDescent="0.3">
      <c r="A752" t="s">
        <v>30</v>
      </c>
      <c r="B752" s="2" t="s">
        <v>2</v>
      </c>
      <c r="G752" t="s">
        <v>84</v>
      </c>
      <c r="H752">
        <v>35</v>
      </c>
    </row>
    <row r="753" spans="1:8" x14ac:dyDescent="0.3">
      <c r="A753" t="s">
        <v>30</v>
      </c>
      <c r="B753" s="2" t="s">
        <v>2</v>
      </c>
      <c r="G753" t="s">
        <v>85</v>
      </c>
      <c r="H753">
        <v>4</v>
      </c>
    </row>
    <row r="754" spans="1:8" x14ac:dyDescent="0.3">
      <c r="A754" t="s">
        <v>30</v>
      </c>
      <c r="B754" s="2" t="s">
        <v>2</v>
      </c>
      <c r="G754" t="s">
        <v>71</v>
      </c>
      <c r="H754">
        <v>145</v>
      </c>
    </row>
    <row r="755" spans="1:8" x14ac:dyDescent="0.3">
      <c r="A755" t="s">
        <v>30</v>
      </c>
      <c r="B755" s="2" t="s">
        <v>4</v>
      </c>
      <c r="G755" t="s">
        <v>71</v>
      </c>
      <c r="H755">
        <v>4</v>
      </c>
    </row>
    <row r="756" spans="1:8" x14ac:dyDescent="0.3">
      <c r="A756" t="s">
        <v>30</v>
      </c>
      <c r="B756" s="2" t="s">
        <v>2</v>
      </c>
      <c r="G756" t="s">
        <v>72</v>
      </c>
      <c r="H756">
        <v>5</v>
      </c>
    </row>
    <row r="757" spans="1:8" x14ac:dyDescent="0.3">
      <c r="A757" t="s">
        <v>31</v>
      </c>
      <c r="B757" s="2" t="s">
        <v>2</v>
      </c>
      <c r="C757" s="4" t="s">
        <v>13</v>
      </c>
      <c r="H757" s="3">
        <v>75</v>
      </c>
    </row>
    <row r="758" spans="1:8" x14ac:dyDescent="0.3">
      <c r="A758" t="s">
        <v>31</v>
      </c>
      <c r="B758" s="2" t="s">
        <v>4</v>
      </c>
      <c r="C758" s="4" t="s">
        <v>13</v>
      </c>
      <c r="H758" s="3">
        <v>63</v>
      </c>
    </row>
    <row r="759" spans="1:8" x14ac:dyDescent="0.3">
      <c r="A759" t="s">
        <v>31</v>
      </c>
      <c r="B759" s="2" t="s">
        <v>4</v>
      </c>
      <c r="C759" s="4" t="s">
        <v>104</v>
      </c>
      <c r="H759" s="3">
        <v>7</v>
      </c>
    </row>
    <row r="760" spans="1:8" x14ac:dyDescent="0.3">
      <c r="A760" t="s">
        <v>31</v>
      </c>
      <c r="B760" s="2" t="s">
        <v>2</v>
      </c>
      <c r="C760" s="4" t="s">
        <v>104</v>
      </c>
      <c r="H760" s="3">
        <v>3</v>
      </c>
    </row>
    <row r="761" spans="1:8" x14ac:dyDescent="0.3">
      <c r="A761" t="s">
        <v>31</v>
      </c>
      <c r="B761" s="2" t="s">
        <v>2</v>
      </c>
      <c r="C761" s="4" t="s">
        <v>7</v>
      </c>
      <c r="H761" s="3">
        <v>929</v>
      </c>
    </row>
    <row r="762" spans="1:8" x14ac:dyDescent="0.3">
      <c r="A762" t="s">
        <v>31</v>
      </c>
      <c r="B762" s="2" t="s">
        <v>4</v>
      </c>
      <c r="C762" s="4" t="s">
        <v>7</v>
      </c>
      <c r="H762" s="3">
        <v>375</v>
      </c>
    </row>
    <row r="763" spans="1:8" x14ac:dyDescent="0.3">
      <c r="A763" t="s">
        <v>31</v>
      </c>
      <c r="B763" s="2" t="s">
        <v>2</v>
      </c>
      <c r="C763" s="4" t="s">
        <v>103</v>
      </c>
      <c r="H763" s="3">
        <v>216</v>
      </c>
    </row>
    <row r="764" spans="1:8" x14ac:dyDescent="0.3">
      <c r="A764" t="s">
        <v>31</v>
      </c>
      <c r="B764" s="2" t="s">
        <v>4</v>
      </c>
      <c r="C764" s="4" t="s">
        <v>103</v>
      </c>
      <c r="H764" s="3">
        <v>165</v>
      </c>
    </row>
    <row r="765" spans="1:8" x14ac:dyDescent="0.3">
      <c r="A765" t="s">
        <v>31</v>
      </c>
      <c r="B765" s="2" t="s">
        <v>2</v>
      </c>
      <c r="C765" s="4" t="s">
        <v>79</v>
      </c>
      <c r="H765" s="3">
        <v>130</v>
      </c>
    </row>
    <row r="766" spans="1:8" x14ac:dyDescent="0.3">
      <c r="A766" t="s">
        <v>31</v>
      </c>
      <c r="B766" s="2" t="s">
        <v>4</v>
      </c>
      <c r="C766" s="4" t="s">
        <v>79</v>
      </c>
      <c r="H766" s="3">
        <v>26</v>
      </c>
    </row>
    <row r="767" spans="1:8" x14ac:dyDescent="0.3">
      <c r="A767" t="s">
        <v>31</v>
      </c>
      <c r="B767" s="2" t="s">
        <v>2</v>
      </c>
      <c r="C767" s="4" t="s">
        <v>105</v>
      </c>
      <c r="H767" s="3">
        <v>81</v>
      </c>
    </row>
    <row r="768" spans="1:8" x14ac:dyDescent="0.3">
      <c r="A768" t="s">
        <v>31</v>
      </c>
      <c r="B768" s="2" t="s">
        <v>4</v>
      </c>
      <c r="C768" s="4" t="s">
        <v>105</v>
      </c>
      <c r="H768" s="3">
        <v>58</v>
      </c>
    </row>
    <row r="769" spans="1:8" x14ac:dyDescent="0.3">
      <c r="A769" t="s">
        <v>31</v>
      </c>
      <c r="B769" s="2" t="s">
        <v>2</v>
      </c>
      <c r="C769" s="4" t="s">
        <v>58</v>
      </c>
      <c r="H769" s="3">
        <v>32</v>
      </c>
    </row>
    <row r="770" spans="1:8" x14ac:dyDescent="0.3">
      <c r="A770" t="s">
        <v>31</v>
      </c>
      <c r="B770" s="2" t="s">
        <v>4</v>
      </c>
      <c r="C770" s="4" t="s">
        <v>58</v>
      </c>
      <c r="H770" s="3">
        <v>11</v>
      </c>
    </row>
    <row r="771" spans="1:8" x14ac:dyDescent="0.3">
      <c r="A771" t="s">
        <v>31</v>
      </c>
      <c r="B771" s="2" t="s">
        <v>2</v>
      </c>
      <c r="C771" s="4" t="s">
        <v>59</v>
      </c>
      <c r="H771" s="3">
        <v>10</v>
      </c>
    </row>
    <row r="772" spans="1:8" x14ac:dyDescent="0.3">
      <c r="A772" t="s">
        <v>31</v>
      </c>
      <c r="B772" s="2" t="s">
        <v>2</v>
      </c>
      <c r="D772" t="s">
        <v>81</v>
      </c>
      <c r="H772">
        <v>107</v>
      </c>
    </row>
    <row r="773" spans="1:8" x14ac:dyDescent="0.3">
      <c r="A773" t="s">
        <v>31</v>
      </c>
      <c r="B773" s="2" t="s">
        <v>4</v>
      </c>
      <c r="D773" t="s">
        <v>81</v>
      </c>
      <c r="H773">
        <v>60</v>
      </c>
    </row>
    <row r="774" spans="1:8" x14ac:dyDescent="0.3">
      <c r="A774" t="s">
        <v>31</v>
      </c>
      <c r="B774" s="2" t="s">
        <v>2</v>
      </c>
      <c r="D774" t="s">
        <v>73</v>
      </c>
      <c r="H774">
        <v>30</v>
      </c>
    </row>
    <row r="775" spans="1:8" x14ac:dyDescent="0.3">
      <c r="A775" t="s">
        <v>31</v>
      </c>
      <c r="B775" s="2" t="s">
        <v>4</v>
      </c>
      <c r="D775" t="s">
        <v>73</v>
      </c>
      <c r="H775">
        <v>47</v>
      </c>
    </row>
    <row r="776" spans="1:8" x14ac:dyDescent="0.3">
      <c r="A776" t="s">
        <v>31</v>
      </c>
      <c r="B776" s="2" t="s">
        <v>2</v>
      </c>
      <c r="D776" t="s">
        <v>74</v>
      </c>
      <c r="H776">
        <v>92</v>
      </c>
    </row>
    <row r="777" spans="1:8" x14ac:dyDescent="0.3">
      <c r="A777" t="s">
        <v>31</v>
      </c>
      <c r="B777" s="2" t="s">
        <v>4</v>
      </c>
      <c r="D777" t="s">
        <v>74</v>
      </c>
      <c r="H777">
        <v>37</v>
      </c>
    </row>
    <row r="778" spans="1:8" x14ac:dyDescent="0.3">
      <c r="A778" t="s">
        <v>31</v>
      </c>
      <c r="B778" s="2" t="s">
        <v>2</v>
      </c>
      <c r="D778" t="s">
        <v>3</v>
      </c>
      <c r="H778">
        <v>10</v>
      </c>
    </row>
    <row r="779" spans="1:8" x14ac:dyDescent="0.3">
      <c r="A779" t="s">
        <v>31</v>
      </c>
      <c r="B779" s="2" t="s">
        <v>4</v>
      </c>
      <c r="D779" t="s">
        <v>3</v>
      </c>
      <c r="H779">
        <v>5</v>
      </c>
    </row>
    <row r="780" spans="1:8" x14ac:dyDescent="0.3">
      <c r="A780" t="s">
        <v>31</v>
      </c>
      <c r="B780" s="2" t="s">
        <v>2</v>
      </c>
      <c r="D780" t="s">
        <v>9</v>
      </c>
      <c r="H780">
        <v>86</v>
      </c>
    </row>
    <row r="781" spans="1:8" x14ac:dyDescent="0.3">
      <c r="A781" t="s">
        <v>31</v>
      </c>
      <c r="B781" s="2" t="s">
        <v>4</v>
      </c>
      <c r="D781" t="s">
        <v>9</v>
      </c>
      <c r="H781">
        <v>88</v>
      </c>
    </row>
    <row r="782" spans="1:8" x14ac:dyDescent="0.3">
      <c r="A782" t="s">
        <v>31</v>
      </c>
      <c r="B782" s="2" t="s">
        <v>2</v>
      </c>
      <c r="D782" t="s">
        <v>75</v>
      </c>
      <c r="H782">
        <v>1</v>
      </c>
    </row>
    <row r="783" spans="1:8" x14ac:dyDescent="0.3">
      <c r="A783" t="s">
        <v>31</v>
      </c>
      <c r="B783" s="2" t="s">
        <v>4</v>
      </c>
      <c r="D783" t="s">
        <v>75</v>
      </c>
      <c r="H783">
        <v>4</v>
      </c>
    </row>
    <row r="784" spans="1:8" x14ac:dyDescent="0.3">
      <c r="A784" t="s">
        <v>31</v>
      </c>
      <c r="B784" s="2" t="s">
        <v>2</v>
      </c>
      <c r="D784" t="s">
        <v>11</v>
      </c>
      <c r="H784">
        <v>191</v>
      </c>
    </row>
    <row r="785" spans="1:8" x14ac:dyDescent="0.3">
      <c r="A785" t="s">
        <v>31</v>
      </c>
      <c r="B785" s="2" t="s">
        <v>4</v>
      </c>
      <c r="D785" t="s">
        <v>11</v>
      </c>
      <c r="H785">
        <v>74</v>
      </c>
    </row>
    <row r="786" spans="1:8" x14ac:dyDescent="0.3">
      <c r="A786" t="s">
        <v>31</v>
      </c>
      <c r="B786" s="2" t="s">
        <v>2</v>
      </c>
      <c r="D786" t="s">
        <v>80</v>
      </c>
      <c r="H786">
        <v>142</v>
      </c>
    </row>
    <row r="787" spans="1:8" x14ac:dyDescent="0.3">
      <c r="A787" t="s">
        <v>31</v>
      </c>
      <c r="B787" s="2" t="s">
        <v>4</v>
      </c>
      <c r="D787" t="s">
        <v>80</v>
      </c>
      <c r="H787">
        <v>59</v>
      </c>
    </row>
    <row r="788" spans="1:8" x14ac:dyDescent="0.3">
      <c r="A788" t="s">
        <v>31</v>
      </c>
      <c r="B788" s="2" t="s">
        <v>2</v>
      </c>
      <c r="D788" t="s">
        <v>8</v>
      </c>
      <c r="H788">
        <v>25</v>
      </c>
    </row>
    <row r="789" spans="1:8" x14ac:dyDescent="0.3">
      <c r="A789" t="s">
        <v>31</v>
      </c>
      <c r="B789" s="2" t="s">
        <v>4</v>
      </c>
      <c r="D789" t="s">
        <v>8</v>
      </c>
      <c r="H789">
        <v>5</v>
      </c>
    </row>
    <row r="790" spans="1:8" x14ac:dyDescent="0.3">
      <c r="A790" t="s">
        <v>31</v>
      </c>
      <c r="B790" s="2" t="s">
        <v>2</v>
      </c>
      <c r="D790" t="s">
        <v>76</v>
      </c>
      <c r="H790">
        <v>70</v>
      </c>
    </row>
    <row r="791" spans="1:8" x14ac:dyDescent="0.3">
      <c r="A791" t="s">
        <v>31</v>
      </c>
      <c r="B791" s="2" t="s">
        <v>4</v>
      </c>
      <c r="D791" t="s">
        <v>76</v>
      </c>
      <c r="H791">
        <v>17</v>
      </c>
    </row>
    <row r="792" spans="1:8" x14ac:dyDescent="0.3">
      <c r="A792" t="s">
        <v>31</v>
      </c>
      <c r="B792" s="2" t="s">
        <v>2</v>
      </c>
      <c r="D792" t="s">
        <v>10</v>
      </c>
      <c r="H792">
        <v>3</v>
      </c>
    </row>
    <row r="793" spans="1:8" x14ac:dyDescent="0.3">
      <c r="A793" t="s">
        <v>31</v>
      </c>
      <c r="B793" s="2" t="s">
        <v>4</v>
      </c>
      <c r="D793" t="s">
        <v>10</v>
      </c>
      <c r="H793">
        <v>10</v>
      </c>
    </row>
    <row r="794" spans="1:8" x14ac:dyDescent="0.3">
      <c r="A794" t="s">
        <v>31</v>
      </c>
      <c r="B794" s="2" t="s">
        <v>2</v>
      </c>
      <c r="D794" t="s">
        <v>5</v>
      </c>
      <c r="H794">
        <v>1</v>
      </c>
    </row>
    <row r="795" spans="1:8" x14ac:dyDescent="0.3">
      <c r="A795" t="s">
        <v>31</v>
      </c>
      <c r="B795" s="2" t="s">
        <v>2</v>
      </c>
      <c r="D795" t="s">
        <v>14</v>
      </c>
      <c r="H795">
        <v>436</v>
      </c>
    </row>
    <row r="796" spans="1:8" x14ac:dyDescent="0.3">
      <c r="A796" t="s">
        <v>31</v>
      </c>
      <c r="B796" s="2" t="s">
        <v>4</v>
      </c>
      <c r="D796" t="s">
        <v>14</v>
      </c>
      <c r="H796">
        <v>242</v>
      </c>
    </row>
    <row r="797" spans="1:8" x14ac:dyDescent="0.3">
      <c r="A797" t="s">
        <v>31</v>
      </c>
      <c r="B797" s="2" t="s">
        <v>2</v>
      </c>
      <c r="D797" t="s">
        <v>15</v>
      </c>
      <c r="H797">
        <v>13</v>
      </c>
    </row>
    <row r="798" spans="1:8" x14ac:dyDescent="0.3">
      <c r="A798" t="s">
        <v>31</v>
      </c>
      <c r="B798" s="2" t="s">
        <v>4</v>
      </c>
      <c r="D798" t="s">
        <v>15</v>
      </c>
      <c r="H798">
        <v>8</v>
      </c>
    </row>
    <row r="799" spans="1:8" x14ac:dyDescent="0.3">
      <c r="A799" t="s">
        <v>31</v>
      </c>
      <c r="B799" s="2" t="s">
        <v>2</v>
      </c>
      <c r="D799" t="s">
        <v>17</v>
      </c>
      <c r="H799">
        <v>163</v>
      </c>
    </row>
    <row r="800" spans="1:8" x14ac:dyDescent="0.3">
      <c r="A800" t="s">
        <v>31</v>
      </c>
      <c r="B800" s="2" t="s">
        <v>4</v>
      </c>
      <c r="D800" t="s">
        <v>17</v>
      </c>
      <c r="H800">
        <v>25</v>
      </c>
    </row>
    <row r="801" spans="1:8" x14ac:dyDescent="0.3">
      <c r="A801" t="s">
        <v>31</v>
      </c>
      <c r="B801" s="2" t="s">
        <v>2</v>
      </c>
      <c r="D801" t="s">
        <v>6</v>
      </c>
      <c r="H801">
        <v>13</v>
      </c>
    </row>
    <row r="802" spans="1:8" x14ac:dyDescent="0.3">
      <c r="A802" t="s">
        <v>31</v>
      </c>
      <c r="B802" s="2" t="s">
        <v>4</v>
      </c>
      <c r="D802" t="s">
        <v>6</v>
      </c>
      <c r="H802">
        <v>7</v>
      </c>
    </row>
    <row r="803" spans="1:8" x14ac:dyDescent="0.3">
      <c r="A803" t="s">
        <v>31</v>
      </c>
      <c r="B803" s="2" t="s">
        <v>4</v>
      </c>
      <c r="D803" t="s">
        <v>12</v>
      </c>
      <c r="H803">
        <v>10</v>
      </c>
    </row>
    <row r="804" spans="1:8" x14ac:dyDescent="0.3">
      <c r="A804" t="s">
        <v>31</v>
      </c>
      <c r="B804" s="2" t="s">
        <v>2</v>
      </c>
      <c r="D804" t="s">
        <v>77</v>
      </c>
      <c r="H804">
        <v>10</v>
      </c>
    </row>
    <row r="805" spans="1:8" x14ac:dyDescent="0.3">
      <c r="A805" t="s">
        <v>31</v>
      </c>
      <c r="B805" s="2" t="s">
        <v>4</v>
      </c>
      <c r="D805" t="s">
        <v>77</v>
      </c>
      <c r="H805">
        <v>1</v>
      </c>
    </row>
    <row r="806" spans="1:8" x14ac:dyDescent="0.3">
      <c r="A806" t="s">
        <v>31</v>
      </c>
      <c r="B806" s="2" t="s">
        <v>2</v>
      </c>
      <c r="D806" t="s">
        <v>16</v>
      </c>
      <c r="H806">
        <v>48</v>
      </c>
    </row>
    <row r="807" spans="1:8" x14ac:dyDescent="0.3">
      <c r="A807" t="s">
        <v>31</v>
      </c>
      <c r="B807" s="2" t="s">
        <v>4</v>
      </c>
      <c r="D807" t="s">
        <v>16</v>
      </c>
      <c r="H807">
        <v>10</v>
      </c>
    </row>
    <row r="808" spans="1:8" x14ac:dyDescent="0.3">
      <c r="A808" t="s">
        <v>31</v>
      </c>
      <c r="B808" s="2" t="s">
        <v>2</v>
      </c>
      <c r="D808" t="s">
        <v>78</v>
      </c>
      <c r="H808">
        <v>27</v>
      </c>
    </row>
    <row r="809" spans="1:8" x14ac:dyDescent="0.3">
      <c r="A809" t="s">
        <v>31</v>
      </c>
      <c r="B809" s="2" t="s">
        <v>4</v>
      </c>
      <c r="D809" t="s">
        <v>78</v>
      </c>
      <c r="H809">
        <v>4</v>
      </c>
    </row>
    <row r="810" spans="1:8" x14ac:dyDescent="0.3">
      <c r="A810" t="s">
        <v>31</v>
      </c>
      <c r="B810" s="2" t="s">
        <v>2</v>
      </c>
      <c r="E810" t="s">
        <v>21</v>
      </c>
      <c r="H810">
        <v>113</v>
      </c>
    </row>
    <row r="811" spans="1:8" x14ac:dyDescent="0.3">
      <c r="A811" t="s">
        <v>31</v>
      </c>
      <c r="B811" s="2" t="s">
        <v>4</v>
      </c>
      <c r="E811" t="s">
        <v>21</v>
      </c>
      <c r="H811">
        <v>63</v>
      </c>
    </row>
    <row r="812" spans="1:8" x14ac:dyDescent="0.3">
      <c r="A812" t="s">
        <v>31</v>
      </c>
      <c r="B812" s="2" t="s">
        <v>2</v>
      </c>
      <c r="E812" t="s">
        <v>91</v>
      </c>
      <c r="H812">
        <f>310+93</f>
        <v>403</v>
      </c>
    </row>
    <row r="813" spans="1:8" x14ac:dyDescent="0.3">
      <c r="A813" t="s">
        <v>31</v>
      </c>
      <c r="B813" s="2" t="s">
        <v>4</v>
      </c>
      <c r="E813" t="s">
        <v>91</v>
      </c>
      <c r="H813">
        <f>127+35</f>
        <v>162</v>
      </c>
    </row>
    <row r="814" spans="1:8" x14ac:dyDescent="0.3">
      <c r="A814" t="s">
        <v>31</v>
      </c>
      <c r="B814" s="2" t="s">
        <v>2</v>
      </c>
      <c r="E814" t="s">
        <v>90</v>
      </c>
      <c r="H814">
        <v>383</v>
      </c>
    </row>
    <row r="815" spans="1:8" x14ac:dyDescent="0.3">
      <c r="A815" t="s">
        <v>31</v>
      </c>
      <c r="B815" s="2" t="s">
        <v>4</v>
      </c>
      <c r="E815" t="s">
        <v>90</v>
      </c>
      <c r="H815">
        <v>203</v>
      </c>
    </row>
    <row r="816" spans="1:8" x14ac:dyDescent="0.3">
      <c r="A816" t="s">
        <v>31</v>
      </c>
      <c r="B816" s="2" t="s">
        <v>2</v>
      </c>
      <c r="E816" t="s">
        <v>89</v>
      </c>
      <c r="H816">
        <v>391</v>
      </c>
    </row>
    <row r="817" spans="1:8" x14ac:dyDescent="0.3">
      <c r="A817" t="s">
        <v>31</v>
      </c>
      <c r="B817" s="2" t="s">
        <v>4</v>
      </c>
      <c r="E817" t="s">
        <v>89</v>
      </c>
      <c r="H817">
        <v>138</v>
      </c>
    </row>
    <row r="818" spans="1:8" x14ac:dyDescent="0.3">
      <c r="A818" t="s">
        <v>31</v>
      </c>
      <c r="B818" s="2" t="s">
        <v>2</v>
      </c>
      <c r="E818" t="s">
        <v>60</v>
      </c>
      <c r="H818">
        <v>117</v>
      </c>
    </row>
    <row r="819" spans="1:8" x14ac:dyDescent="0.3">
      <c r="A819" t="s">
        <v>31</v>
      </c>
      <c r="B819" s="2" t="s">
        <v>4</v>
      </c>
      <c r="E819" t="s">
        <v>60</v>
      </c>
      <c r="H819">
        <v>76</v>
      </c>
    </row>
    <row r="820" spans="1:8" x14ac:dyDescent="0.3">
      <c r="A820" t="s">
        <v>31</v>
      </c>
      <c r="B820" s="2" t="s">
        <v>2</v>
      </c>
      <c r="E820" t="s">
        <v>61</v>
      </c>
      <c r="H820">
        <v>55</v>
      </c>
    </row>
    <row r="821" spans="1:8" x14ac:dyDescent="0.3">
      <c r="A821" t="s">
        <v>31</v>
      </c>
      <c r="B821" s="2" t="s">
        <v>4</v>
      </c>
      <c r="E821" t="s">
        <v>61</v>
      </c>
      <c r="H821">
        <v>21</v>
      </c>
    </row>
    <row r="822" spans="1:8" x14ac:dyDescent="0.3">
      <c r="A822" t="s">
        <v>31</v>
      </c>
      <c r="B822" s="2" t="s">
        <v>2</v>
      </c>
      <c r="E822" t="s">
        <v>92</v>
      </c>
      <c r="H822">
        <v>1</v>
      </c>
    </row>
    <row r="823" spans="1:8" x14ac:dyDescent="0.3">
      <c r="A823" t="s">
        <v>31</v>
      </c>
      <c r="B823" s="2" t="s">
        <v>2</v>
      </c>
      <c r="E823" t="s">
        <v>62</v>
      </c>
      <c r="H823">
        <v>10</v>
      </c>
    </row>
    <row r="824" spans="1:8" x14ac:dyDescent="0.3">
      <c r="A824" t="s">
        <v>31</v>
      </c>
      <c r="B824" s="2" t="s">
        <v>4</v>
      </c>
      <c r="E824" t="s">
        <v>62</v>
      </c>
      <c r="H824">
        <v>45</v>
      </c>
    </row>
    <row r="825" spans="1:8" x14ac:dyDescent="0.3">
      <c r="A825" t="s">
        <v>31</v>
      </c>
      <c r="B825" s="2" t="s">
        <v>2</v>
      </c>
      <c r="F825" t="s">
        <v>64</v>
      </c>
      <c r="H825">
        <v>753</v>
      </c>
    </row>
    <row r="826" spans="1:8" x14ac:dyDescent="0.3">
      <c r="A826" t="s">
        <v>31</v>
      </c>
      <c r="B826" s="2" t="s">
        <v>4</v>
      </c>
      <c r="F826" t="s">
        <v>64</v>
      </c>
      <c r="H826">
        <v>327</v>
      </c>
    </row>
    <row r="827" spans="1:8" x14ac:dyDescent="0.3">
      <c r="A827" t="s">
        <v>31</v>
      </c>
      <c r="B827" s="2" t="s">
        <v>2</v>
      </c>
      <c r="F827" t="s">
        <v>18</v>
      </c>
      <c r="H827">
        <v>644</v>
      </c>
    </row>
    <row r="828" spans="1:8" x14ac:dyDescent="0.3">
      <c r="A828" t="s">
        <v>31</v>
      </c>
      <c r="B828" s="2" t="s">
        <v>4</v>
      </c>
      <c r="F828" t="s">
        <v>18</v>
      </c>
      <c r="H828">
        <v>329</v>
      </c>
    </row>
    <row r="829" spans="1:8" x14ac:dyDescent="0.3">
      <c r="A829" t="s">
        <v>31</v>
      </c>
      <c r="B829" s="2" t="s">
        <v>2</v>
      </c>
      <c r="F829" t="s">
        <v>19</v>
      </c>
      <c r="H829">
        <v>26</v>
      </c>
    </row>
    <row r="830" spans="1:8" x14ac:dyDescent="0.3">
      <c r="A830" t="s">
        <v>31</v>
      </c>
      <c r="B830" s="2" t="s">
        <v>4</v>
      </c>
      <c r="F830" t="s">
        <v>19</v>
      </c>
      <c r="H830">
        <v>5</v>
      </c>
    </row>
    <row r="831" spans="1:8" x14ac:dyDescent="0.3">
      <c r="A831" t="s">
        <v>31</v>
      </c>
      <c r="B831" s="2" t="s">
        <v>2</v>
      </c>
      <c r="F831" t="s">
        <v>20</v>
      </c>
      <c r="H831">
        <v>2</v>
      </c>
    </row>
    <row r="832" spans="1:8" x14ac:dyDescent="0.3">
      <c r="A832" t="s">
        <v>31</v>
      </c>
      <c r="B832" s="2" t="s">
        <v>4</v>
      </c>
      <c r="F832" t="s">
        <v>20</v>
      </c>
      <c r="H832">
        <v>2</v>
      </c>
    </row>
    <row r="833" spans="1:8" x14ac:dyDescent="0.3">
      <c r="A833" t="s">
        <v>31</v>
      </c>
      <c r="B833" s="2" t="s">
        <v>2</v>
      </c>
      <c r="F833" t="s">
        <v>65</v>
      </c>
      <c r="H833">
        <v>26</v>
      </c>
    </row>
    <row r="834" spans="1:8" x14ac:dyDescent="0.3">
      <c r="A834" t="s">
        <v>31</v>
      </c>
      <c r="B834" s="2" t="s">
        <v>4</v>
      </c>
      <c r="F834" t="s">
        <v>65</v>
      </c>
      <c r="H834">
        <v>37</v>
      </c>
    </row>
    <row r="835" spans="1:8" x14ac:dyDescent="0.3">
      <c r="A835" t="s">
        <v>31</v>
      </c>
      <c r="B835" s="2" t="s">
        <v>2</v>
      </c>
      <c r="F835" t="s">
        <v>66</v>
      </c>
      <c r="H835">
        <v>22</v>
      </c>
    </row>
    <row r="836" spans="1:8" x14ac:dyDescent="0.3">
      <c r="A836" t="s">
        <v>31</v>
      </c>
      <c r="B836" s="2" t="s">
        <v>4</v>
      </c>
      <c r="F836" t="s">
        <v>66</v>
      </c>
      <c r="H836">
        <v>8</v>
      </c>
    </row>
    <row r="837" spans="1:8" x14ac:dyDescent="0.3">
      <c r="A837" t="s">
        <v>31</v>
      </c>
      <c r="B837" s="2" t="s">
        <v>4</v>
      </c>
      <c r="G837" t="s">
        <v>68</v>
      </c>
      <c r="H837">
        <v>177</v>
      </c>
    </row>
    <row r="838" spans="1:8" x14ac:dyDescent="0.3">
      <c r="A838" t="s">
        <v>31</v>
      </c>
      <c r="B838" s="2" t="s">
        <v>2</v>
      </c>
      <c r="G838" t="s">
        <v>82</v>
      </c>
      <c r="H838">
        <v>13</v>
      </c>
    </row>
    <row r="839" spans="1:8" x14ac:dyDescent="0.3">
      <c r="A839" t="s">
        <v>31</v>
      </c>
      <c r="B839" s="2" t="s">
        <v>2</v>
      </c>
      <c r="G839" t="s">
        <v>83</v>
      </c>
      <c r="H839">
        <v>135</v>
      </c>
    </row>
    <row r="840" spans="1:8" x14ac:dyDescent="0.3">
      <c r="A840" t="s">
        <v>31</v>
      </c>
      <c r="B840" s="2" t="s">
        <v>4</v>
      </c>
      <c r="G840" t="s">
        <v>83</v>
      </c>
      <c r="H840">
        <v>21</v>
      </c>
    </row>
    <row r="841" spans="1:8" x14ac:dyDescent="0.3">
      <c r="A841" t="s">
        <v>31</v>
      </c>
      <c r="B841" s="2" t="s">
        <v>2</v>
      </c>
      <c r="G841" t="s">
        <v>69</v>
      </c>
      <c r="H841">
        <v>465</v>
      </c>
    </row>
    <row r="842" spans="1:8" x14ac:dyDescent="0.3">
      <c r="A842" t="s">
        <v>31</v>
      </c>
      <c r="B842" s="2" t="s">
        <v>4</v>
      </c>
      <c r="G842" t="s">
        <v>69</v>
      </c>
      <c r="H842">
        <v>359</v>
      </c>
    </row>
    <row r="843" spans="1:8" x14ac:dyDescent="0.3">
      <c r="A843" t="s">
        <v>31</v>
      </c>
      <c r="B843" s="2" t="s">
        <v>2</v>
      </c>
      <c r="G843" t="s">
        <v>70</v>
      </c>
      <c r="H843">
        <v>584</v>
      </c>
    </row>
    <row r="844" spans="1:8" x14ac:dyDescent="0.3">
      <c r="A844" t="s">
        <v>31</v>
      </c>
      <c r="B844" s="2" t="s">
        <v>4</v>
      </c>
      <c r="G844" t="s">
        <v>70</v>
      </c>
      <c r="H844">
        <v>136</v>
      </c>
    </row>
    <row r="845" spans="1:8" x14ac:dyDescent="0.3">
      <c r="A845" t="s">
        <v>31</v>
      </c>
      <c r="B845" s="2" t="s">
        <v>2</v>
      </c>
      <c r="G845" t="s">
        <v>84</v>
      </c>
      <c r="H845">
        <v>130</v>
      </c>
    </row>
    <row r="846" spans="1:8" x14ac:dyDescent="0.3">
      <c r="A846" t="s">
        <v>31</v>
      </c>
      <c r="B846" s="2" t="s">
        <v>4</v>
      </c>
      <c r="G846" t="s">
        <v>84</v>
      </c>
      <c r="H846">
        <v>13</v>
      </c>
    </row>
    <row r="847" spans="1:8" x14ac:dyDescent="0.3">
      <c r="A847" t="s">
        <v>31</v>
      </c>
      <c r="B847" s="2" t="s">
        <v>2</v>
      </c>
      <c r="G847" t="s">
        <v>85</v>
      </c>
      <c r="H847">
        <v>7</v>
      </c>
    </row>
    <row r="848" spans="1:8" x14ac:dyDescent="0.3">
      <c r="A848" t="s">
        <v>31</v>
      </c>
      <c r="B848" s="2" t="s">
        <v>2</v>
      </c>
      <c r="G848" t="s">
        <v>71</v>
      </c>
      <c r="H848">
        <v>124</v>
      </c>
    </row>
    <row r="849" spans="1:8" x14ac:dyDescent="0.3">
      <c r="A849" t="s">
        <v>31</v>
      </c>
      <c r="B849" s="2" t="s">
        <v>4</v>
      </c>
      <c r="G849" t="s">
        <v>71</v>
      </c>
      <c r="H849">
        <v>2</v>
      </c>
    </row>
    <row r="850" spans="1:8" x14ac:dyDescent="0.3">
      <c r="A850" t="s">
        <v>31</v>
      </c>
      <c r="B850" s="2" t="s">
        <v>2</v>
      </c>
      <c r="G850" t="s">
        <v>72</v>
      </c>
      <c r="H850">
        <v>15</v>
      </c>
    </row>
    <row r="851" spans="1:8" x14ac:dyDescent="0.3">
      <c r="A851" t="s">
        <v>32</v>
      </c>
      <c r="B851" s="2" t="s">
        <v>2</v>
      </c>
      <c r="C851" s="4" t="s">
        <v>13</v>
      </c>
      <c r="H851" s="3">
        <v>691</v>
      </c>
    </row>
    <row r="852" spans="1:8" x14ac:dyDescent="0.3">
      <c r="A852" t="s">
        <v>32</v>
      </c>
      <c r="B852" s="2" t="s">
        <v>4</v>
      </c>
      <c r="C852" s="4" t="s">
        <v>13</v>
      </c>
      <c r="H852" s="3">
        <v>250</v>
      </c>
    </row>
    <row r="853" spans="1:8" x14ac:dyDescent="0.3">
      <c r="A853" t="s">
        <v>32</v>
      </c>
      <c r="B853" s="2" t="s">
        <v>2</v>
      </c>
      <c r="C853" s="4" t="s">
        <v>104</v>
      </c>
      <c r="H853" s="3">
        <f>85+21</f>
        <v>106</v>
      </c>
    </row>
    <row r="854" spans="1:8" x14ac:dyDescent="0.3">
      <c r="A854" t="s">
        <v>32</v>
      </c>
      <c r="B854" s="2" t="s">
        <v>4</v>
      </c>
      <c r="C854" s="4" t="s">
        <v>104</v>
      </c>
      <c r="H854" s="3">
        <v>56</v>
      </c>
    </row>
    <row r="855" spans="1:8" x14ac:dyDescent="0.3">
      <c r="A855" t="s">
        <v>32</v>
      </c>
      <c r="B855" s="2" t="s">
        <v>2</v>
      </c>
      <c r="C855" s="4" t="s">
        <v>7</v>
      </c>
      <c r="H855" s="3">
        <v>6571</v>
      </c>
    </row>
    <row r="856" spans="1:8" x14ac:dyDescent="0.3">
      <c r="A856" t="s">
        <v>32</v>
      </c>
      <c r="B856" s="2" t="s">
        <v>4</v>
      </c>
      <c r="C856" s="4" t="s">
        <v>7</v>
      </c>
      <c r="H856" s="3">
        <v>2219</v>
      </c>
    </row>
    <row r="857" spans="1:8" x14ac:dyDescent="0.3">
      <c r="A857" t="s">
        <v>32</v>
      </c>
      <c r="B857" s="2" t="s">
        <v>2</v>
      </c>
      <c r="C857" s="4" t="s">
        <v>103</v>
      </c>
      <c r="H857" s="3">
        <v>2039</v>
      </c>
    </row>
    <row r="858" spans="1:8" x14ac:dyDescent="0.3">
      <c r="A858" t="s">
        <v>32</v>
      </c>
      <c r="B858" s="2" t="s">
        <v>4</v>
      </c>
      <c r="C858" s="4" t="s">
        <v>103</v>
      </c>
      <c r="H858" s="3">
        <v>505</v>
      </c>
    </row>
    <row r="859" spans="1:8" x14ac:dyDescent="0.3">
      <c r="A859" t="s">
        <v>32</v>
      </c>
      <c r="B859" s="2" t="s">
        <v>56</v>
      </c>
      <c r="C859" s="4" t="s">
        <v>103</v>
      </c>
      <c r="H859" s="3">
        <v>1</v>
      </c>
    </row>
    <row r="860" spans="1:8" x14ac:dyDescent="0.3">
      <c r="A860" t="s">
        <v>32</v>
      </c>
      <c r="B860" s="2" t="s">
        <v>2</v>
      </c>
      <c r="C860" s="4" t="s">
        <v>79</v>
      </c>
      <c r="H860" s="3">
        <v>66</v>
      </c>
    </row>
    <row r="861" spans="1:8" x14ac:dyDescent="0.3">
      <c r="A861" t="s">
        <v>32</v>
      </c>
      <c r="B861" s="2" t="s">
        <v>4</v>
      </c>
      <c r="C861" s="4" t="s">
        <v>79</v>
      </c>
      <c r="H861" s="3">
        <v>24</v>
      </c>
    </row>
    <row r="862" spans="1:8" x14ac:dyDescent="0.3">
      <c r="A862" t="s">
        <v>32</v>
      </c>
      <c r="B862" s="2" t="s">
        <v>2</v>
      </c>
      <c r="C862" s="4" t="s">
        <v>105</v>
      </c>
      <c r="H862" s="3">
        <v>640</v>
      </c>
    </row>
    <row r="863" spans="1:8" x14ac:dyDescent="0.3">
      <c r="A863" t="s">
        <v>32</v>
      </c>
      <c r="B863" s="2" t="s">
        <v>4</v>
      </c>
      <c r="C863" s="4" t="s">
        <v>105</v>
      </c>
      <c r="H863" s="3">
        <v>99</v>
      </c>
    </row>
    <row r="864" spans="1:8" x14ac:dyDescent="0.3">
      <c r="A864" t="s">
        <v>32</v>
      </c>
      <c r="B864" s="2" t="s">
        <v>2</v>
      </c>
      <c r="C864" s="4" t="s">
        <v>58</v>
      </c>
      <c r="H864" s="3">
        <v>6</v>
      </c>
    </row>
    <row r="865" spans="1:8" x14ac:dyDescent="0.3">
      <c r="A865" t="s">
        <v>32</v>
      </c>
      <c r="B865" s="2" t="s">
        <v>4</v>
      </c>
      <c r="C865" s="4" t="s">
        <v>58</v>
      </c>
      <c r="H865" s="3">
        <v>1</v>
      </c>
    </row>
    <row r="866" spans="1:8" x14ac:dyDescent="0.3">
      <c r="A866" t="s">
        <v>32</v>
      </c>
      <c r="B866" s="2" t="s">
        <v>2</v>
      </c>
      <c r="C866" s="4" t="s">
        <v>59</v>
      </c>
      <c r="H866" s="3">
        <v>243</v>
      </c>
    </row>
    <row r="867" spans="1:8" x14ac:dyDescent="0.3">
      <c r="A867" t="s">
        <v>32</v>
      </c>
      <c r="B867" s="2" t="s">
        <v>4</v>
      </c>
      <c r="C867" s="4" t="s">
        <v>59</v>
      </c>
      <c r="H867" s="3">
        <v>89</v>
      </c>
    </row>
    <row r="868" spans="1:8" x14ac:dyDescent="0.3">
      <c r="A868" t="s">
        <v>32</v>
      </c>
      <c r="B868" s="2" t="s">
        <v>2</v>
      </c>
      <c r="D868" t="s">
        <v>81</v>
      </c>
      <c r="H868">
        <v>153</v>
      </c>
    </row>
    <row r="869" spans="1:8" x14ac:dyDescent="0.3">
      <c r="A869" t="s">
        <v>32</v>
      </c>
      <c r="B869" s="2" t="s">
        <v>4</v>
      </c>
      <c r="D869" t="s">
        <v>81</v>
      </c>
      <c r="H869">
        <v>73</v>
      </c>
    </row>
    <row r="870" spans="1:8" x14ac:dyDescent="0.3">
      <c r="A870" t="s">
        <v>32</v>
      </c>
      <c r="B870" s="2" t="s">
        <v>2</v>
      </c>
      <c r="D870" t="s">
        <v>73</v>
      </c>
      <c r="H870">
        <v>24</v>
      </c>
    </row>
    <row r="871" spans="1:8" x14ac:dyDescent="0.3">
      <c r="A871" t="s">
        <v>32</v>
      </c>
      <c r="B871" s="2" t="s">
        <v>4</v>
      </c>
      <c r="D871" t="s">
        <v>73</v>
      </c>
      <c r="H871">
        <v>8</v>
      </c>
    </row>
    <row r="872" spans="1:8" x14ac:dyDescent="0.3">
      <c r="A872" t="s">
        <v>32</v>
      </c>
      <c r="B872" s="2" t="s">
        <v>2</v>
      </c>
      <c r="D872" t="s">
        <v>74</v>
      </c>
      <c r="H872">
        <v>88</v>
      </c>
    </row>
    <row r="873" spans="1:8" x14ac:dyDescent="0.3">
      <c r="A873" t="s">
        <v>32</v>
      </c>
      <c r="B873" s="2" t="s">
        <v>4</v>
      </c>
      <c r="D873" t="s">
        <v>74</v>
      </c>
      <c r="H873">
        <v>34</v>
      </c>
    </row>
    <row r="874" spans="1:8" x14ac:dyDescent="0.3">
      <c r="A874" t="s">
        <v>32</v>
      </c>
      <c r="B874" s="2" t="s">
        <v>2</v>
      </c>
      <c r="D874" t="s">
        <v>3</v>
      </c>
      <c r="H874">
        <v>42</v>
      </c>
    </row>
    <row r="875" spans="1:8" x14ac:dyDescent="0.3">
      <c r="A875" t="s">
        <v>32</v>
      </c>
      <c r="B875" s="2" t="s">
        <v>4</v>
      </c>
      <c r="D875" t="s">
        <v>3</v>
      </c>
      <c r="H875">
        <v>34</v>
      </c>
    </row>
    <row r="876" spans="1:8" x14ac:dyDescent="0.3">
      <c r="A876" t="s">
        <v>32</v>
      </c>
      <c r="B876" s="2" t="s">
        <v>2</v>
      </c>
      <c r="D876" t="s">
        <v>9</v>
      </c>
      <c r="H876">
        <v>83</v>
      </c>
    </row>
    <row r="877" spans="1:8" x14ac:dyDescent="0.3">
      <c r="A877" t="s">
        <v>32</v>
      </c>
      <c r="B877" s="2" t="s">
        <v>4</v>
      </c>
      <c r="D877" t="s">
        <v>9</v>
      </c>
      <c r="H877">
        <v>79</v>
      </c>
    </row>
    <row r="878" spans="1:8" x14ac:dyDescent="0.3">
      <c r="A878" t="s">
        <v>32</v>
      </c>
      <c r="B878" s="2" t="s">
        <v>2</v>
      </c>
      <c r="D878" t="s">
        <v>75</v>
      </c>
      <c r="H878">
        <v>20</v>
      </c>
    </row>
    <row r="879" spans="1:8" x14ac:dyDescent="0.3">
      <c r="A879" t="s">
        <v>32</v>
      </c>
      <c r="B879" s="2" t="s">
        <v>4</v>
      </c>
      <c r="D879" t="s">
        <v>75</v>
      </c>
      <c r="H879">
        <v>42</v>
      </c>
    </row>
    <row r="880" spans="1:8" x14ac:dyDescent="0.3">
      <c r="A880" t="s">
        <v>32</v>
      </c>
      <c r="B880" s="2" t="s">
        <v>2</v>
      </c>
      <c r="D880" t="s">
        <v>11</v>
      </c>
      <c r="H880">
        <v>2462</v>
      </c>
    </row>
    <row r="881" spans="1:8" x14ac:dyDescent="0.3">
      <c r="A881" t="s">
        <v>32</v>
      </c>
      <c r="B881" s="2" t="s">
        <v>4</v>
      </c>
      <c r="D881" t="s">
        <v>11</v>
      </c>
      <c r="H881">
        <v>1317</v>
      </c>
    </row>
    <row r="882" spans="1:8" x14ac:dyDescent="0.3">
      <c r="A882" t="s">
        <v>32</v>
      </c>
      <c r="B882" s="2" t="s">
        <v>2</v>
      </c>
      <c r="D882" t="s">
        <v>80</v>
      </c>
      <c r="H882">
        <v>2131</v>
      </c>
    </row>
    <row r="883" spans="1:8" x14ac:dyDescent="0.3">
      <c r="A883" t="s">
        <v>32</v>
      </c>
      <c r="B883" s="2" t="s">
        <v>4</v>
      </c>
      <c r="D883" t="s">
        <v>80</v>
      </c>
      <c r="H883">
        <v>978</v>
      </c>
    </row>
    <row r="884" spans="1:8" x14ac:dyDescent="0.3">
      <c r="A884" t="s">
        <v>32</v>
      </c>
      <c r="B884" s="2" t="s">
        <v>2</v>
      </c>
      <c r="D884" t="s">
        <v>8</v>
      </c>
      <c r="H884">
        <v>156</v>
      </c>
    </row>
    <row r="885" spans="1:8" x14ac:dyDescent="0.3">
      <c r="A885" t="s">
        <v>32</v>
      </c>
      <c r="B885" s="2" t="s">
        <v>4</v>
      </c>
      <c r="D885" t="s">
        <v>8</v>
      </c>
      <c r="H885">
        <v>79</v>
      </c>
    </row>
    <row r="886" spans="1:8" x14ac:dyDescent="0.3">
      <c r="A886" t="s">
        <v>32</v>
      </c>
      <c r="B886" s="2" t="s">
        <v>2</v>
      </c>
      <c r="D886" t="s">
        <v>76</v>
      </c>
      <c r="H886">
        <v>1389</v>
      </c>
    </row>
    <row r="887" spans="1:8" x14ac:dyDescent="0.3">
      <c r="A887" t="s">
        <v>32</v>
      </c>
      <c r="B887" s="2" t="s">
        <v>4</v>
      </c>
      <c r="D887" t="s">
        <v>76</v>
      </c>
      <c r="H887">
        <v>16</v>
      </c>
    </row>
    <row r="888" spans="1:8" x14ac:dyDescent="0.3">
      <c r="A888" t="s">
        <v>32</v>
      </c>
      <c r="B888" s="2" t="s">
        <v>2</v>
      </c>
      <c r="D888" t="s">
        <v>10</v>
      </c>
      <c r="H888">
        <v>61</v>
      </c>
    </row>
    <row r="889" spans="1:8" x14ac:dyDescent="0.3">
      <c r="A889" t="s">
        <v>32</v>
      </c>
      <c r="B889" s="2" t="s">
        <v>4</v>
      </c>
      <c r="D889" t="s">
        <v>10</v>
      </c>
      <c r="H889">
        <v>12</v>
      </c>
    </row>
    <row r="890" spans="1:8" x14ac:dyDescent="0.3">
      <c r="A890" t="s">
        <v>32</v>
      </c>
      <c r="B890" s="2" t="s">
        <v>2</v>
      </c>
      <c r="D890" t="s">
        <v>5</v>
      </c>
      <c r="H890">
        <v>3</v>
      </c>
    </row>
    <row r="891" spans="1:8" x14ac:dyDescent="0.3">
      <c r="A891" t="s">
        <v>32</v>
      </c>
      <c r="B891" s="2" t="s">
        <v>4</v>
      </c>
      <c r="D891" t="s">
        <v>5</v>
      </c>
      <c r="H891">
        <v>2</v>
      </c>
    </row>
    <row r="892" spans="1:8" x14ac:dyDescent="0.3">
      <c r="A892" t="s">
        <v>32</v>
      </c>
      <c r="B892" s="2" t="s">
        <v>2</v>
      </c>
      <c r="D892" t="s">
        <v>14</v>
      </c>
      <c r="H892">
        <v>250</v>
      </c>
    </row>
    <row r="893" spans="1:8" x14ac:dyDescent="0.3">
      <c r="A893" t="s">
        <v>32</v>
      </c>
      <c r="B893" s="2" t="s">
        <v>4</v>
      </c>
      <c r="D893" t="s">
        <v>14</v>
      </c>
      <c r="H893">
        <v>103</v>
      </c>
    </row>
    <row r="894" spans="1:8" x14ac:dyDescent="0.3">
      <c r="A894" t="s">
        <v>32</v>
      </c>
      <c r="B894" s="2" t="s">
        <v>2</v>
      </c>
      <c r="D894" t="s">
        <v>15</v>
      </c>
      <c r="H894">
        <v>101</v>
      </c>
    </row>
    <row r="895" spans="1:8" x14ac:dyDescent="0.3">
      <c r="A895" t="s">
        <v>32</v>
      </c>
      <c r="B895" s="2" t="s">
        <v>4</v>
      </c>
      <c r="D895" t="s">
        <v>15</v>
      </c>
      <c r="H895">
        <v>26</v>
      </c>
    </row>
    <row r="896" spans="1:8" x14ac:dyDescent="0.3">
      <c r="A896" t="s">
        <v>32</v>
      </c>
      <c r="B896" s="2" t="s">
        <v>2</v>
      </c>
      <c r="D896" t="s">
        <v>17</v>
      </c>
      <c r="H896">
        <v>549</v>
      </c>
    </row>
    <row r="897" spans="1:8" x14ac:dyDescent="0.3">
      <c r="A897" t="s">
        <v>32</v>
      </c>
      <c r="B897" s="2" t="s">
        <v>4</v>
      </c>
      <c r="D897" t="s">
        <v>17</v>
      </c>
      <c r="H897">
        <v>56</v>
      </c>
    </row>
    <row r="898" spans="1:8" x14ac:dyDescent="0.3">
      <c r="A898" t="s">
        <v>32</v>
      </c>
      <c r="B898" s="2" t="s">
        <v>2</v>
      </c>
      <c r="D898" t="s">
        <v>6</v>
      </c>
      <c r="H898">
        <v>206</v>
      </c>
    </row>
    <row r="899" spans="1:8" x14ac:dyDescent="0.3">
      <c r="A899" t="s">
        <v>32</v>
      </c>
      <c r="B899" s="2" t="s">
        <v>4</v>
      </c>
      <c r="D899" t="s">
        <v>6</v>
      </c>
      <c r="H899">
        <v>84</v>
      </c>
    </row>
    <row r="900" spans="1:8" x14ac:dyDescent="0.3">
      <c r="A900" t="s">
        <v>32</v>
      </c>
      <c r="B900" s="2" t="s">
        <v>56</v>
      </c>
      <c r="D900" t="s">
        <v>6</v>
      </c>
      <c r="H900">
        <v>1</v>
      </c>
    </row>
    <row r="901" spans="1:8" x14ac:dyDescent="0.3">
      <c r="A901" t="s">
        <v>32</v>
      </c>
      <c r="B901" s="2" t="s">
        <v>4</v>
      </c>
      <c r="D901" t="s">
        <v>12</v>
      </c>
      <c r="H901">
        <v>4</v>
      </c>
    </row>
    <row r="902" spans="1:8" x14ac:dyDescent="0.3">
      <c r="A902" t="s">
        <v>32</v>
      </c>
      <c r="B902" s="2" t="s">
        <v>2</v>
      </c>
      <c r="D902" t="s">
        <v>16</v>
      </c>
      <c r="H902">
        <f>198+1335</f>
        <v>1533</v>
      </c>
    </row>
    <row r="903" spans="1:8" x14ac:dyDescent="0.3">
      <c r="A903" t="s">
        <v>32</v>
      </c>
      <c r="B903" s="2" t="s">
        <v>4</v>
      </c>
      <c r="D903" t="s">
        <v>16</v>
      </c>
      <c r="H903">
        <v>105</v>
      </c>
    </row>
    <row r="904" spans="1:8" x14ac:dyDescent="0.3">
      <c r="A904" t="s">
        <v>32</v>
      </c>
      <c r="B904" s="2" t="s">
        <v>2</v>
      </c>
      <c r="D904" t="s">
        <v>78</v>
      </c>
      <c r="H904">
        <f>753+358</f>
        <v>1111</v>
      </c>
    </row>
    <row r="905" spans="1:8" x14ac:dyDescent="0.3">
      <c r="A905" t="s">
        <v>32</v>
      </c>
      <c r="B905" s="2" t="s">
        <v>4</v>
      </c>
      <c r="D905" t="s">
        <v>78</v>
      </c>
      <c r="H905">
        <f>146+45</f>
        <v>191</v>
      </c>
    </row>
    <row r="906" spans="1:8" x14ac:dyDescent="0.3">
      <c r="A906" t="s">
        <v>32</v>
      </c>
      <c r="B906" s="2" t="s">
        <v>2</v>
      </c>
      <c r="E906" t="s">
        <v>21</v>
      </c>
      <c r="H906">
        <v>1141</v>
      </c>
    </row>
    <row r="907" spans="1:8" x14ac:dyDescent="0.3">
      <c r="A907" t="s">
        <v>32</v>
      </c>
      <c r="B907" s="2" t="s">
        <v>4</v>
      </c>
      <c r="E907" t="s">
        <v>21</v>
      </c>
      <c r="H907">
        <v>432</v>
      </c>
    </row>
    <row r="908" spans="1:8" x14ac:dyDescent="0.3">
      <c r="A908" t="s">
        <v>32</v>
      </c>
      <c r="B908" s="2" t="s">
        <v>56</v>
      </c>
      <c r="E908" t="s">
        <v>91</v>
      </c>
      <c r="H908">
        <v>1</v>
      </c>
    </row>
    <row r="909" spans="1:8" x14ac:dyDescent="0.3">
      <c r="A909" t="s">
        <v>32</v>
      </c>
      <c r="B909" s="2" t="s">
        <v>2</v>
      </c>
      <c r="E909" t="s">
        <v>91</v>
      </c>
      <c r="H909">
        <f>1929+2073</f>
        <v>4002</v>
      </c>
    </row>
    <row r="910" spans="1:8" x14ac:dyDescent="0.3">
      <c r="A910" t="s">
        <v>32</v>
      </c>
      <c r="B910" s="2" t="s">
        <v>4</v>
      </c>
      <c r="E910" t="s">
        <v>91</v>
      </c>
      <c r="H910">
        <f>599+512</f>
        <v>1111</v>
      </c>
    </row>
    <row r="911" spans="1:8" x14ac:dyDescent="0.3">
      <c r="A911" t="s">
        <v>32</v>
      </c>
      <c r="B911" s="2" t="s">
        <v>2</v>
      </c>
      <c r="E911" t="s">
        <v>90</v>
      </c>
      <c r="H911">
        <v>2669</v>
      </c>
    </row>
    <row r="912" spans="1:8" x14ac:dyDescent="0.3">
      <c r="A912" t="s">
        <v>32</v>
      </c>
      <c r="B912" s="2" t="s">
        <v>4</v>
      </c>
      <c r="E912" t="s">
        <v>90</v>
      </c>
      <c r="H912">
        <v>820</v>
      </c>
    </row>
    <row r="913" spans="1:8" x14ac:dyDescent="0.3">
      <c r="A913" t="s">
        <v>32</v>
      </c>
      <c r="B913" s="2" t="s">
        <v>2</v>
      </c>
      <c r="E913" t="s">
        <v>89</v>
      </c>
      <c r="H913">
        <v>1458</v>
      </c>
    </row>
    <row r="914" spans="1:8" x14ac:dyDescent="0.3">
      <c r="A914" t="s">
        <v>32</v>
      </c>
      <c r="B914" s="2" t="s">
        <v>4</v>
      </c>
      <c r="E914" t="s">
        <v>89</v>
      </c>
      <c r="H914">
        <v>497</v>
      </c>
    </row>
    <row r="915" spans="1:8" x14ac:dyDescent="0.3">
      <c r="A915" t="s">
        <v>32</v>
      </c>
      <c r="B915" s="2" t="s">
        <v>2</v>
      </c>
      <c r="E915" t="s">
        <v>60</v>
      </c>
      <c r="H915">
        <v>163</v>
      </c>
    </row>
    <row r="916" spans="1:8" x14ac:dyDescent="0.3">
      <c r="A916" t="s">
        <v>32</v>
      </c>
      <c r="B916" s="2" t="s">
        <v>4</v>
      </c>
      <c r="E916" t="s">
        <v>60</v>
      </c>
      <c r="H916">
        <v>36</v>
      </c>
    </row>
    <row r="917" spans="1:8" x14ac:dyDescent="0.3">
      <c r="A917" t="s">
        <v>32</v>
      </c>
      <c r="B917" s="2" t="s">
        <v>2</v>
      </c>
      <c r="E917" t="s">
        <v>61</v>
      </c>
      <c r="H917">
        <v>584</v>
      </c>
    </row>
    <row r="918" spans="1:8" x14ac:dyDescent="0.3">
      <c r="A918" t="s">
        <v>32</v>
      </c>
      <c r="B918" s="2" t="s">
        <v>4</v>
      </c>
      <c r="E918" t="s">
        <v>61</v>
      </c>
      <c r="H918">
        <v>232</v>
      </c>
    </row>
    <row r="919" spans="1:8" x14ac:dyDescent="0.3">
      <c r="A919" t="s">
        <v>32</v>
      </c>
      <c r="B919" s="2" t="s">
        <v>2</v>
      </c>
      <c r="E919" t="s">
        <v>92</v>
      </c>
      <c r="H919">
        <v>65</v>
      </c>
    </row>
    <row r="920" spans="1:8" x14ac:dyDescent="0.3">
      <c r="A920" t="s">
        <v>32</v>
      </c>
      <c r="B920" s="2" t="s">
        <v>4</v>
      </c>
      <c r="E920" t="s">
        <v>92</v>
      </c>
      <c r="H920">
        <v>32</v>
      </c>
    </row>
    <row r="921" spans="1:8" x14ac:dyDescent="0.3">
      <c r="A921" t="s">
        <v>32</v>
      </c>
      <c r="B921" s="2" t="s">
        <v>2</v>
      </c>
      <c r="E921" t="s">
        <v>62</v>
      </c>
      <c r="H921">
        <v>280</v>
      </c>
    </row>
    <row r="922" spans="1:8" x14ac:dyDescent="0.3">
      <c r="A922" t="s">
        <v>32</v>
      </c>
      <c r="B922" s="2" t="s">
        <v>4</v>
      </c>
      <c r="E922" t="s">
        <v>62</v>
      </c>
      <c r="H922">
        <v>83</v>
      </c>
    </row>
    <row r="923" spans="1:8" x14ac:dyDescent="0.3">
      <c r="A923" t="s">
        <v>32</v>
      </c>
      <c r="B923" s="2" t="s">
        <v>2</v>
      </c>
      <c r="F923" t="s">
        <v>64</v>
      </c>
      <c r="H923">
        <v>2233</v>
      </c>
    </row>
    <row r="924" spans="1:8" x14ac:dyDescent="0.3">
      <c r="A924" t="s">
        <v>32</v>
      </c>
      <c r="B924" s="2" t="s">
        <v>4</v>
      </c>
      <c r="F924" t="s">
        <v>64</v>
      </c>
      <c r="H924">
        <v>779</v>
      </c>
    </row>
    <row r="925" spans="1:8" x14ac:dyDescent="0.3">
      <c r="A925" t="s">
        <v>32</v>
      </c>
      <c r="B925" s="2" t="s">
        <v>56</v>
      </c>
      <c r="F925" t="s">
        <v>64</v>
      </c>
      <c r="H925">
        <v>1</v>
      </c>
    </row>
    <row r="926" spans="1:8" x14ac:dyDescent="0.3">
      <c r="A926" t="s">
        <v>32</v>
      </c>
      <c r="B926" s="2" t="s">
        <v>2</v>
      </c>
      <c r="F926" t="s">
        <v>18</v>
      </c>
      <c r="H926">
        <v>7438</v>
      </c>
    </row>
    <row r="927" spans="1:8" x14ac:dyDescent="0.3">
      <c r="A927" t="s">
        <v>32</v>
      </c>
      <c r="B927" s="2" t="s">
        <v>4</v>
      </c>
      <c r="F927" t="s">
        <v>18</v>
      </c>
      <c r="H927">
        <v>2188</v>
      </c>
    </row>
    <row r="928" spans="1:8" x14ac:dyDescent="0.3">
      <c r="A928" t="s">
        <v>32</v>
      </c>
      <c r="B928" s="2" t="s">
        <v>2</v>
      </c>
      <c r="F928" t="s">
        <v>19</v>
      </c>
      <c r="H928">
        <v>164</v>
      </c>
    </row>
    <row r="929" spans="1:8" x14ac:dyDescent="0.3">
      <c r="A929" t="s">
        <v>32</v>
      </c>
      <c r="B929" s="2" t="s">
        <v>4</v>
      </c>
      <c r="F929" t="s">
        <v>19</v>
      </c>
      <c r="H929">
        <v>118</v>
      </c>
    </row>
    <row r="930" spans="1:8" x14ac:dyDescent="0.3">
      <c r="A930" t="s">
        <v>32</v>
      </c>
      <c r="B930" s="2" t="s">
        <v>2</v>
      </c>
      <c r="F930" t="s">
        <v>20</v>
      </c>
      <c r="H930">
        <v>67</v>
      </c>
    </row>
    <row r="931" spans="1:8" x14ac:dyDescent="0.3">
      <c r="A931" t="s">
        <v>32</v>
      </c>
      <c r="B931" s="2" t="s">
        <v>4</v>
      </c>
      <c r="F931" t="s">
        <v>20</v>
      </c>
      <c r="H931">
        <v>27</v>
      </c>
    </row>
    <row r="932" spans="1:8" x14ac:dyDescent="0.3">
      <c r="A932" t="s">
        <v>32</v>
      </c>
      <c r="B932" s="2" t="s">
        <v>2</v>
      </c>
      <c r="F932" t="s">
        <v>65</v>
      </c>
      <c r="H932">
        <v>118</v>
      </c>
    </row>
    <row r="933" spans="1:8" x14ac:dyDescent="0.3">
      <c r="A933" t="s">
        <v>32</v>
      </c>
      <c r="B933" s="2" t="s">
        <v>4</v>
      </c>
      <c r="F933" t="s">
        <v>65</v>
      </c>
      <c r="H933">
        <v>51</v>
      </c>
    </row>
    <row r="934" spans="1:8" x14ac:dyDescent="0.3">
      <c r="A934" t="s">
        <v>32</v>
      </c>
      <c r="B934" s="2" t="s">
        <v>2</v>
      </c>
      <c r="F934" t="s">
        <v>66</v>
      </c>
      <c r="H934">
        <f>122+220</f>
        <v>342</v>
      </c>
    </row>
    <row r="935" spans="1:8" x14ac:dyDescent="0.3">
      <c r="A935" t="s">
        <v>32</v>
      </c>
      <c r="B935" s="2" t="s">
        <v>4</v>
      </c>
      <c r="F935" t="s">
        <v>66</v>
      </c>
      <c r="H935">
        <v>80</v>
      </c>
    </row>
    <row r="936" spans="1:8" x14ac:dyDescent="0.3">
      <c r="A936" t="s">
        <v>32</v>
      </c>
      <c r="B936" s="2" t="s">
        <v>4</v>
      </c>
      <c r="G936" t="s">
        <v>68</v>
      </c>
      <c r="H936">
        <v>1893</v>
      </c>
    </row>
    <row r="937" spans="1:8" x14ac:dyDescent="0.3">
      <c r="A937" t="s">
        <v>32</v>
      </c>
      <c r="B937" s="2" t="s">
        <v>2</v>
      </c>
      <c r="G937" t="s">
        <v>82</v>
      </c>
      <c r="H937">
        <v>140</v>
      </c>
    </row>
    <row r="938" spans="1:8" x14ac:dyDescent="0.3">
      <c r="A938" t="s">
        <v>32</v>
      </c>
      <c r="B938" s="2" t="s">
        <v>4</v>
      </c>
      <c r="G938" t="s">
        <v>82</v>
      </c>
      <c r="H938">
        <v>29</v>
      </c>
    </row>
    <row r="939" spans="1:8" x14ac:dyDescent="0.3">
      <c r="A939" t="s">
        <v>32</v>
      </c>
      <c r="B939" s="2" t="s">
        <v>2</v>
      </c>
      <c r="G939" t="s">
        <v>83</v>
      </c>
      <c r="H939">
        <v>1099</v>
      </c>
    </row>
    <row r="940" spans="1:8" x14ac:dyDescent="0.3">
      <c r="A940" t="s">
        <v>32</v>
      </c>
      <c r="B940" s="2" t="s">
        <v>4</v>
      </c>
      <c r="G940" t="s">
        <v>83</v>
      </c>
      <c r="H940">
        <v>198</v>
      </c>
    </row>
    <row r="941" spans="1:8" x14ac:dyDescent="0.3">
      <c r="A941" t="s">
        <v>32</v>
      </c>
      <c r="B941" s="2" t="s">
        <v>2</v>
      </c>
      <c r="G941" t="s">
        <v>69</v>
      </c>
      <c r="H941">
        <v>386</v>
      </c>
    </row>
    <row r="942" spans="1:8" x14ac:dyDescent="0.3">
      <c r="A942" t="s">
        <v>32</v>
      </c>
      <c r="B942" s="2" t="s">
        <v>4</v>
      </c>
      <c r="G942" t="s">
        <v>69</v>
      </c>
      <c r="H942">
        <v>348</v>
      </c>
    </row>
    <row r="943" spans="1:8" x14ac:dyDescent="0.3">
      <c r="A943" t="s">
        <v>32</v>
      </c>
      <c r="B943" s="2" t="s">
        <v>2</v>
      </c>
      <c r="G943" t="s">
        <v>70</v>
      </c>
      <c r="H943">
        <v>1055</v>
      </c>
    </row>
    <row r="944" spans="1:8" x14ac:dyDescent="0.3">
      <c r="A944" t="s">
        <v>32</v>
      </c>
      <c r="B944" s="2" t="s">
        <v>4</v>
      </c>
      <c r="G944" t="s">
        <v>70</v>
      </c>
      <c r="H944">
        <v>181</v>
      </c>
    </row>
    <row r="945" spans="1:8" x14ac:dyDescent="0.3">
      <c r="A945" t="s">
        <v>32</v>
      </c>
      <c r="B945" s="2" t="s">
        <v>2</v>
      </c>
      <c r="G945" t="s">
        <v>84</v>
      </c>
      <c r="H945">
        <v>2527</v>
      </c>
    </row>
    <row r="946" spans="1:8" x14ac:dyDescent="0.3">
      <c r="A946" t="s">
        <v>32</v>
      </c>
      <c r="B946" s="2" t="s">
        <v>4</v>
      </c>
      <c r="G946" t="s">
        <v>84</v>
      </c>
      <c r="H946">
        <v>120</v>
      </c>
    </row>
    <row r="947" spans="1:8" x14ac:dyDescent="0.3">
      <c r="A947" t="s">
        <v>32</v>
      </c>
      <c r="B947" s="2" t="s">
        <v>2</v>
      </c>
      <c r="G947" t="s">
        <v>85</v>
      </c>
      <c r="H947">
        <v>2201</v>
      </c>
    </row>
    <row r="948" spans="1:8" x14ac:dyDescent="0.3">
      <c r="A948" t="s">
        <v>32</v>
      </c>
      <c r="B948" s="2" t="s">
        <v>4</v>
      </c>
      <c r="G948" t="s">
        <v>85</v>
      </c>
      <c r="H948">
        <v>191</v>
      </c>
    </row>
    <row r="949" spans="1:8" x14ac:dyDescent="0.3">
      <c r="A949" t="s">
        <v>32</v>
      </c>
      <c r="B949" s="2" t="s">
        <v>2</v>
      </c>
      <c r="G949" t="s">
        <v>71</v>
      </c>
      <c r="H949">
        <v>2373</v>
      </c>
    </row>
    <row r="950" spans="1:8" x14ac:dyDescent="0.3">
      <c r="A950" t="s">
        <v>32</v>
      </c>
      <c r="B950" s="2" t="s">
        <v>4</v>
      </c>
      <c r="G950" t="s">
        <v>71</v>
      </c>
      <c r="H950">
        <v>229</v>
      </c>
    </row>
    <row r="951" spans="1:8" x14ac:dyDescent="0.3">
      <c r="A951" t="s">
        <v>32</v>
      </c>
      <c r="B951" s="2" t="s">
        <v>2</v>
      </c>
      <c r="G951" t="s">
        <v>72</v>
      </c>
      <c r="H951">
        <v>581</v>
      </c>
    </row>
    <row r="952" spans="1:8" x14ac:dyDescent="0.3">
      <c r="A952" t="s">
        <v>32</v>
      </c>
      <c r="B952" s="2" t="s">
        <v>4</v>
      </c>
      <c r="G952" t="s">
        <v>72</v>
      </c>
      <c r="H952">
        <v>54</v>
      </c>
    </row>
    <row r="953" spans="1:8" x14ac:dyDescent="0.3">
      <c r="A953" t="s">
        <v>32</v>
      </c>
      <c r="B953" s="2" t="s">
        <v>56</v>
      </c>
      <c r="G953" t="s">
        <v>72</v>
      </c>
      <c r="H953">
        <v>1</v>
      </c>
    </row>
    <row r="954" spans="1:8" x14ac:dyDescent="0.3">
      <c r="A954" t="s">
        <v>33</v>
      </c>
      <c r="B954" s="2" t="s">
        <v>2</v>
      </c>
      <c r="C954" s="4" t="s">
        <v>13</v>
      </c>
      <c r="H954" s="3">
        <v>221</v>
      </c>
    </row>
    <row r="955" spans="1:8" x14ac:dyDescent="0.3">
      <c r="A955" t="s">
        <v>33</v>
      </c>
      <c r="B955" s="2" t="s">
        <v>4</v>
      </c>
      <c r="C955" s="4" t="s">
        <v>13</v>
      </c>
      <c r="H955" s="3">
        <v>190</v>
      </c>
    </row>
    <row r="956" spans="1:8" x14ac:dyDescent="0.3">
      <c r="A956" t="s">
        <v>33</v>
      </c>
      <c r="B956" s="2" t="s">
        <v>2</v>
      </c>
      <c r="C956" s="4" t="s">
        <v>104</v>
      </c>
      <c r="H956" s="3">
        <f>137+29</f>
        <v>166</v>
      </c>
    </row>
    <row r="957" spans="1:8" x14ac:dyDescent="0.3">
      <c r="A957" t="s">
        <v>33</v>
      </c>
      <c r="B957" s="2" t="s">
        <v>4</v>
      </c>
      <c r="C957" s="4" t="s">
        <v>104</v>
      </c>
      <c r="H957" s="3">
        <v>239</v>
      </c>
    </row>
    <row r="958" spans="1:8" x14ac:dyDescent="0.3">
      <c r="A958" t="s">
        <v>33</v>
      </c>
      <c r="B958" s="2" t="s">
        <v>2</v>
      </c>
      <c r="C958" s="4" t="s">
        <v>7</v>
      </c>
      <c r="H958" s="3">
        <v>6681</v>
      </c>
    </row>
    <row r="959" spans="1:8" x14ac:dyDescent="0.3">
      <c r="A959" t="s">
        <v>33</v>
      </c>
      <c r="B959" s="2" t="s">
        <v>4</v>
      </c>
      <c r="C959" s="4" t="s">
        <v>7</v>
      </c>
      <c r="H959" s="3">
        <v>1516</v>
      </c>
    </row>
    <row r="960" spans="1:8" x14ac:dyDescent="0.3">
      <c r="A960" t="s">
        <v>33</v>
      </c>
      <c r="B960" s="2" t="s">
        <v>56</v>
      </c>
      <c r="C960" s="4" t="s">
        <v>7</v>
      </c>
      <c r="H960" s="3">
        <v>2</v>
      </c>
    </row>
    <row r="961" spans="1:8" x14ac:dyDescent="0.3">
      <c r="A961" t="s">
        <v>33</v>
      </c>
      <c r="B961" s="2" t="s">
        <v>2</v>
      </c>
      <c r="C961" s="4" t="s">
        <v>103</v>
      </c>
      <c r="H961" s="3">
        <v>725</v>
      </c>
    </row>
    <row r="962" spans="1:8" x14ac:dyDescent="0.3">
      <c r="A962" t="s">
        <v>33</v>
      </c>
      <c r="B962" s="2" t="s">
        <v>4</v>
      </c>
      <c r="C962" s="4" t="s">
        <v>103</v>
      </c>
      <c r="H962" s="3">
        <v>135</v>
      </c>
    </row>
    <row r="963" spans="1:8" x14ac:dyDescent="0.3">
      <c r="A963" t="s">
        <v>33</v>
      </c>
      <c r="B963" s="2" t="s">
        <v>2</v>
      </c>
      <c r="C963" s="4" t="s">
        <v>79</v>
      </c>
      <c r="H963" s="3">
        <v>71</v>
      </c>
    </row>
    <row r="964" spans="1:8" x14ac:dyDescent="0.3">
      <c r="A964" t="s">
        <v>33</v>
      </c>
      <c r="B964" s="2" t="s">
        <v>4</v>
      </c>
      <c r="C964" s="4" t="s">
        <v>79</v>
      </c>
      <c r="H964" s="3">
        <v>16</v>
      </c>
    </row>
    <row r="965" spans="1:8" x14ac:dyDescent="0.3">
      <c r="A965" t="s">
        <v>33</v>
      </c>
      <c r="B965" s="2" t="s">
        <v>2</v>
      </c>
      <c r="C965" s="4" t="s">
        <v>105</v>
      </c>
      <c r="H965" s="3">
        <v>134</v>
      </c>
    </row>
    <row r="966" spans="1:8" x14ac:dyDescent="0.3">
      <c r="A966" t="s">
        <v>33</v>
      </c>
      <c r="B966" s="2" t="s">
        <v>4</v>
      </c>
      <c r="C966" s="4" t="s">
        <v>105</v>
      </c>
      <c r="H966" s="3">
        <v>21</v>
      </c>
    </row>
    <row r="967" spans="1:8" x14ac:dyDescent="0.3">
      <c r="A967" t="s">
        <v>33</v>
      </c>
      <c r="B967" s="2" t="s">
        <v>2</v>
      </c>
      <c r="C967" s="4" t="s">
        <v>58</v>
      </c>
      <c r="H967" s="3">
        <v>1</v>
      </c>
    </row>
    <row r="968" spans="1:8" x14ac:dyDescent="0.3">
      <c r="A968" t="s">
        <v>33</v>
      </c>
      <c r="B968" s="2" t="s">
        <v>4</v>
      </c>
      <c r="C968" s="4" t="s">
        <v>58</v>
      </c>
      <c r="H968" s="3">
        <v>1</v>
      </c>
    </row>
    <row r="969" spans="1:8" x14ac:dyDescent="0.3">
      <c r="A969" t="s">
        <v>33</v>
      </c>
      <c r="B969" s="2" t="s">
        <v>2</v>
      </c>
      <c r="C969" s="4" t="s">
        <v>59</v>
      </c>
      <c r="H969" s="3">
        <v>32</v>
      </c>
    </row>
    <row r="970" spans="1:8" x14ac:dyDescent="0.3">
      <c r="A970" t="s">
        <v>33</v>
      </c>
      <c r="B970" s="2" t="s">
        <v>4</v>
      </c>
      <c r="C970" s="4" t="s">
        <v>59</v>
      </c>
      <c r="H970" s="3">
        <v>11</v>
      </c>
    </row>
    <row r="971" spans="1:8" x14ac:dyDescent="0.3">
      <c r="A971" t="s">
        <v>33</v>
      </c>
      <c r="B971" s="2" t="s">
        <v>2</v>
      </c>
      <c r="D971" t="s">
        <v>81</v>
      </c>
      <c r="H971">
        <v>40</v>
      </c>
    </row>
    <row r="972" spans="1:8" x14ac:dyDescent="0.3">
      <c r="A972" t="s">
        <v>33</v>
      </c>
      <c r="B972" s="2" t="s">
        <v>4</v>
      </c>
      <c r="D972" t="s">
        <v>81</v>
      </c>
      <c r="H972">
        <v>23</v>
      </c>
    </row>
    <row r="973" spans="1:8" x14ac:dyDescent="0.3">
      <c r="A973" t="s">
        <v>33</v>
      </c>
      <c r="B973" s="2" t="s">
        <v>4</v>
      </c>
      <c r="D973" t="s">
        <v>73</v>
      </c>
      <c r="H973">
        <v>9</v>
      </c>
    </row>
    <row r="974" spans="1:8" x14ac:dyDescent="0.3">
      <c r="A974" t="s">
        <v>33</v>
      </c>
      <c r="B974" s="2" t="s">
        <v>2</v>
      </c>
      <c r="D974" t="s">
        <v>74</v>
      </c>
      <c r="H974">
        <v>17</v>
      </c>
    </row>
    <row r="975" spans="1:8" x14ac:dyDescent="0.3">
      <c r="A975" t="s">
        <v>33</v>
      </c>
      <c r="B975" s="2" t="s">
        <v>4</v>
      </c>
      <c r="D975" t="s">
        <v>74</v>
      </c>
      <c r="H975">
        <v>17</v>
      </c>
    </row>
    <row r="976" spans="1:8" x14ac:dyDescent="0.3">
      <c r="A976" t="s">
        <v>33</v>
      </c>
      <c r="B976" s="2" t="s">
        <v>2</v>
      </c>
      <c r="D976" t="s">
        <v>3</v>
      </c>
      <c r="H976">
        <v>9</v>
      </c>
    </row>
    <row r="977" spans="1:8" x14ac:dyDescent="0.3">
      <c r="A977" t="s">
        <v>33</v>
      </c>
      <c r="B977" s="2" t="s">
        <v>4</v>
      </c>
      <c r="D977" t="s">
        <v>3</v>
      </c>
      <c r="H977">
        <v>4</v>
      </c>
    </row>
    <row r="978" spans="1:8" x14ac:dyDescent="0.3">
      <c r="A978" t="s">
        <v>33</v>
      </c>
      <c r="B978" s="2" t="s">
        <v>2</v>
      </c>
      <c r="D978" t="s">
        <v>9</v>
      </c>
      <c r="H978">
        <v>29</v>
      </c>
    </row>
    <row r="979" spans="1:8" x14ac:dyDescent="0.3">
      <c r="A979" t="s">
        <v>33</v>
      </c>
      <c r="B979" s="2" t="s">
        <v>4</v>
      </c>
      <c r="D979" t="s">
        <v>9</v>
      </c>
      <c r="H979">
        <v>17</v>
      </c>
    </row>
    <row r="980" spans="1:8" x14ac:dyDescent="0.3">
      <c r="A980" t="s">
        <v>33</v>
      </c>
      <c r="B980" s="2" t="s">
        <v>2</v>
      </c>
      <c r="D980" t="s">
        <v>75</v>
      </c>
      <c r="H980">
        <v>7</v>
      </c>
    </row>
    <row r="981" spans="1:8" x14ac:dyDescent="0.3">
      <c r="A981" t="s">
        <v>33</v>
      </c>
      <c r="B981" s="2" t="s">
        <v>4</v>
      </c>
      <c r="D981" t="s">
        <v>75</v>
      </c>
      <c r="H981">
        <v>14</v>
      </c>
    </row>
    <row r="982" spans="1:8" x14ac:dyDescent="0.3">
      <c r="A982" t="s">
        <v>33</v>
      </c>
      <c r="B982" s="2" t="s">
        <v>2</v>
      </c>
      <c r="D982" t="s">
        <v>11</v>
      </c>
      <c r="H982">
        <v>3743</v>
      </c>
    </row>
    <row r="983" spans="1:8" x14ac:dyDescent="0.3">
      <c r="A983" t="s">
        <v>33</v>
      </c>
      <c r="B983" s="2" t="s">
        <v>4</v>
      </c>
      <c r="D983" t="s">
        <v>11</v>
      </c>
      <c r="H983">
        <v>1045</v>
      </c>
    </row>
    <row r="984" spans="1:8" x14ac:dyDescent="0.3">
      <c r="A984" t="s">
        <v>33</v>
      </c>
      <c r="B984" s="2" t="s">
        <v>56</v>
      </c>
      <c r="D984" t="s">
        <v>11</v>
      </c>
      <c r="H984">
        <v>1</v>
      </c>
    </row>
    <row r="985" spans="1:8" x14ac:dyDescent="0.3">
      <c r="A985" t="s">
        <v>33</v>
      </c>
      <c r="B985" s="2" t="s">
        <v>2</v>
      </c>
      <c r="D985" t="s">
        <v>80</v>
      </c>
      <c r="H985">
        <v>1532</v>
      </c>
    </row>
    <row r="986" spans="1:8" x14ac:dyDescent="0.3">
      <c r="A986" t="s">
        <v>33</v>
      </c>
      <c r="B986" s="2" t="s">
        <v>4</v>
      </c>
      <c r="D986" t="s">
        <v>80</v>
      </c>
      <c r="H986">
        <v>599</v>
      </c>
    </row>
    <row r="987" spans="1:8" x14ac:dyDescent="0.3">
      <c r="A987" t="s">
        <v>33</v>
      </c>
      <c r="B987" s="2" t="s">
        <v>2</v>
      </c>
      <c r="D987" t="s">
        <v>8</v>
      </c>
      <c r="H987">
        <v>127</v>
      </c>
    </row>
    <row r="988" spans="1:8" x14ac:dyDescent="0.3">
      <c r="A988" t="s">
        <v>33</v>
      </c>
      <c r="B988" s="2" t="s">
        <v>4</v>
      </c>
      <c r="D988" t="s">
        <v>8</v>
      </c>
      <c r="H988">
        <v>63</v>
      </c>
    </row>
    <row r="989" spans="1:8" x14ac:dyDescent="0.3">
      <c r="A989" t="s">
        <v>33</v>
      </c>
      <c r="B989" s="2" t="s">
        <v>56</v>
      </c>
      <c r="D989" t="s">
        <v>8</v>
      </c>
      <c r="H989">
        <v>1</v>
      </c>
    </row>
    <row r="990" spans="1:8" x14ac:dyDescent="0.3">
      <c r="A990" t="s">
        <v>33</v>
      </c>
      <c r="B990" s="2" t="s">
        <v>2</v>
      </c>
      <c r="D990" t="s">
        <v>76</v>
      </c>
      <c r="H990">
        <v>1043</v>
      </c>
    </row>
    <row r="991" spans="1:8" x14ac:dyDescent="0.3">
      <c r="A991" t="s">
        <v>33</v>
      </c>
      <c r="B991" s="2" t="s">
        <v>4</v>
      </c>
      <c r="D991" t="s">
        <v>76</v>
      </c>
      <c r="H991">
        <v>4</v>
      </c>
    </row>
    <row r="992" spans="1:8" x14ac:dyDescent="0.3">
      <c r="A992" t="s">
        <v>33</v>
      </c>
      <c r="B992" s="2" t="s">
        <v>2</v>
      </c>
      <c r="D992" t="s">
        <v>10</v>
      </c>
      <c r="H992">
        <v>52</v>
      </c>
    </row>
    <row r="993" spans="1:8" x14ac:dyDescent="0.3">
      <c r="A993" t="s">
        <v>33</v>
      </c>
      <c r="B993" s="2" t="s">
        <v>4</v>
      </c>
      <c r="D993" t="s">
        <v>10</v>
      </c>
      <c r="H993">
        <v>6</v>
      </c>
    </row>
    <row r="994" spans="1:8" x14ac:dyDescent="0.3">
      <c r="A994" t="s">
        <v>33</v>
      </c>
      <c r="B994" s="2" t="s">
        <v>4</v>
      </c>
      <c r="D994" t="s">
        <v>5</v>
      </c>
      <c r="H994">
        <v>1</v>
      </c>
    </row>
    <row r="995" spans="1:8" x14ac:dyDescent="0.3">
      <c r="A995" t="s">
        <v>33</v>
      </c>
      <c r="B995" s="2" t="s">
        <v>2</v>
      </c>
      <c r="D995" t="s">
        <v>14</v>
      </c>
      <c r="H995">
        <v>196</v>
      </c>
    </row>
    <row r="996" spans="1:8" x14ac:dyDescent="0.3">
      <c r="A996" t="s">
        <v>33</v>
      </c>
      <c r="B996" s="2" t="s">
        <v>4</v>
      </c>
      <c r="D996" t="s">
        <v>14</v>
      </c>
      <c r="H996">
        <v>96</v>
      </c>
    </row>
    <row r="997" spans="1:8" x14ac:dyDescent="0.3">
      <c r="A997" t="s">
        <v>33</v>
      </c>
      <c r="B997" s="2" t="s">
        <v>2</v>
      </c>
      <c r="D997" t="s">
        <v>15</v>
      </c>
      <c r="H997">
        <v>2</v>
      </c>
    </row>
    <row r="998" spans="1:8" x14ac:dyDescent="0.3">
      <c r="A998" t="s">
        <v>33</v>
      </c>
      <c r="B998" s="2" t="s">
        <v>4</v>
      </c>
      <c r="D998" t="s">
        <v>15</v>
      </c>
      <c r="H998">
        <v>2</v>
      </c>
    </row>
    <row r="999" spans="1:8" x14ac:dyDescent="0.3">
      <c r="A999" t="s">
        <v>33</v>
      </c>
      <c r="B999" s="2" t="s">
        <v>2</v>
      </c>
      <c r="D999" t="s">
        <v>17</v>
      </c>
      <c r="H999">
        <v>108</v>
      </c>
    </row>
    <row r="1000" spans="1:8" x14ac:dyDescent="0.3">
      <c r="A1000" t="s">
        <v>33</v>
      </c>
      <c r="B1000" s="2" t="s">
        <v>4</v>
      </c>
      <c r="D1000" t="s">
        <v>17</v>
      </c>
      <c r="H1000">
        <v>9</v>
      </c>
    </row>
    <row r="1001" spans="1:8" x14ac:dyDescent="0.3">
      <c r="A1001" t="s">
        <v>33</v>
      </c>
      <c r="B1001" s="2" t="s">
        <v>2</v>
      </c>
      <c r="D1001" t="s">
        <v>6</v>
      </c>
      <c r="H1001">
        <v>6</v>
      </c>
    </row>
    <row r="1002" spans="1:8" x14ac:dyDescent="0.3">
      <c r="A1002" t="s">
        <v>33</v>
      </c>
      <c r="B1002" s="2" t="s">
        <v>4</v>
      </c>
      <c r="D1002" t="s">
        <v>6</v>
      </c>
      <c r="H1002">
        <v>4</v>
      </c>
    </row>
    <row r="1003" spans="1:8" x14ac:dyDescent="0.3">
      <c r="A1003" t="s">
        <v>33</v>
      </c>
      <c r="B1003" s="2" t="s">
        <v>4</v>
      </c>
      <c r="D1003" t="s">
        <v>12</v>
      </c>
      <c r="H1003">
        <v>1</v>
      </c>
    </row>
    <row r="1004" spans="1:8" x14ac:dyDescent="0.3">
      <c r="A1004" t="s">
        <v>33</v>
      </c>
      <c r="B1004" s="2" t="s">
        <v>4</v>
      </c>
      <c r="D1004" t="s">
        <v>77</v>
      </c>
      <c r="H1004">
        <v>4</v>
      </c>
    </row>
    <row r="1005" spans="1:8" x14ac:dyDescent="0.3">
      <c r="A1005" t="s">
        <v>33</v>
      </c>
      <c r="B1005" s="2" t="s">
        <v>2</v>
      </c>
      <c r="D1005" t="s">
        <v>16</v>
      </c>
      <c r="H1005">
        <v>310</v>
      </c>
    </row>
    <row r="1006" spans="1:8" x14ac:dyDescent="0.3">
      <c r="A1006" t="s">
        <v>33</v>
      </c>
      <c r="B1006" s="2" t="s">
        <v>4</v>
      </c>
      <c r="D1006" t="s">
        <v>16</v>
      </c>
      <c r="H1006">
        <v>32</v>
      </c>
    </row>
    <row r="1007" spans="1:8" x14ac:dyDescent="0.3">
      <c r="A1007" t="s">
        <v>33</v>
      </c>
      <c r="B1007" s="2" t="s">
        <v>2</v>
      </c>
      <c r="D1007" t="s">
        <v>78</v>
      </c>
      <c r="H1007">
        <f>571+239</f>
        <v>810</v>
      </c>
    </row>
    <row r="1008" spans="1:8" x14ac:dyDescent="0.3">
      <c r="A1008" t="s">
        <v>33</v>
      </c>
      <c r="B1008" s="2" t="s">
        <v>4</v>
      </c>
      <c r="D1008" t="s">
        <v>78</v>
      </c>
      <c r="H1008">
        <f>112+67</f>
        <v>179</v>
      </c>
    </row>
    <row r="1009" spans="1:8" x14ac:dyDescent="0.3">
      <c r="A1009" t="s">
        <v>33</v>
      </c>
      <c r="B1009" s="2" t="s">
        <v>2</v>
      </c>
      <c r="E1009" t="s">
        <v>21</v>
      </c>
      <c r="H1009">
        <v>86</v>
      </c>
    </row>
    <row r="1010" spans="1:8" x14ac:dyDescent="0.3">
      <c r="A1010" t="s">
        <v>33</v>
      </c>
      <c r="B1010" s="2" t="s">
        <v>4</v>
      </c>
      <c r="E1010" t="s">
        <v>21</v>
      </c>
      <c r="H1010">
        <v>42</v>
      </c>
    </row>
    <row r="1011" spans="1:8" x14ac:dyDescent="0.3">
      <c r="A1011" t="s">
        <v>33</v>
      </c>
      <c r="B1011" s="2" t="s">
        <v>56</v>
      </c>
      <c r="E1011" t="s">
        <v>91</v>
      </c>
      <c r="H1011">
        <v>1</v>
      </c>
    </row>
    <row r="1012" spans="1:8" x14ac:dyDescent="0.3">
      <c r="A1012" t="s">
        <v>33</v>
      </c>
      <c r="B1012" s="2" t="s">
        <v>2</v>
      </c>
      <c r="E1012" t="s">
        <v>91</v>
      </c>
      <c r="H1012">
        <f>1552+1147</f>
        <v>2699</v>
      </c>
    </row>
    <row r="1013" spans="1:8" x14ac:dyDescent="0.3">
      <c r="A1013" t="s">
        <v>33</v>
      </c>
      <c r="B1013" s="2" t="s">
        <v>4</v>
      </c>
      <c r="E1013" t="s">
        <v>91</v>
      </c>
      <c r="H1013">
        <f>390+354</f>
        <v>744</v>
      </c>
    </row>
    <row r="1014" spans="1:8" x14ac:dyDescent="0.3">
      <c r="A1014" t="s">
        <v>33</v>
      </c>
      <c r="B1014" s="2" t="s">
        <v>2</v>
      </c>
      <c r="E1014" t="s">
        <v>90</v>
      </c>
      <c r="H1014">
        <v>2774</v>
      </c>
    </row>
    <row r="1015" spans="1:8" x14ac:dyDescent="0.3">
      <c r="A1015" t="s">
        <v>33</v>
      </c>
      <c r="B1015" s="2" t="s">
        <v>4</v>
      </c>
      <c r="E1015" t="s">
        <v>90</v>
      </c>
      <c r="H1015">
        <v>690</v>
      </c>
    </row>
    <row r="1016" spans="1:8" x14ac:dyDescent="0.3">
      <c r="A1016" t="s">
        <v>33</v>
      </c>
      <c r="B1016" s="2" t="s">
        <v>56</v>
      </c>
      <c r="E1016" t="s">
        <v>90</v>
      </c>
      <c r="H1016">
        <v>1</v>
      </c>
    </row>
    <row r="1017" spans="1:8" x14ac:dyDescent="0.3">
      <c r="A1017" t="s">
        <v>33</v>
      </c>
      <c r="B1017" s="2" t="s">
        <v>2</v>
      </c>
      <c r="E1017" t="s">
        <v>89</v>
      </c>
      <c r="H1017">
        <v>1603</v>
      </c>
    </row>
    <row r="1018" spans="1:8" x14ac:dyDescent="0.3">
      <c r="A1018" t="s">
        <v>33</v>
      </c>
      <c r="B1018" s="2" t="s">
        <v>4</v>
      </c>
      <c r="E1018" t="s">
        <v>89</v>
      </c>
      <c r="H1018">
        <v>444</v>
      </c>
    </row>
    <row r="1019" spans="1:8" x14ac:dyDescent="0.3">
      <c r="A1019" t="s">
        <v>33</v>
      </c>
      <c r="B1019" s="2" t="s">
        <v>2</v>
      </c>
      <c r="E1019" t="s">
        <v>60</v>
      </c>
      <c r="H1019">
        <v>214</v>
      </c>
    </row>
    <row r="1020" spans="1:8" x14ac:dyDescent="0.3">
      <c r="A1020" t="s">
        <v>33</v>
      </c>
      <c r="B1020" s="2" t="s">
        <v>4</v>
      </c>
      <c r="E1020" t="s">
        <v>60</v>
      </c>
      <c r="H1020">
        <v>28</v>
      </c>
    </row>
    <row r="1021" spans="1:8" x14ac:dyDescent="0.3">
      <c r="A1021" t="s">
        <v>33</v>
      </c>
      <c r="B1021" s="2" t="s">
        <v>2</v>
      </c>
      <c r="E1021" t="s">
        <v>61</v>
      </c>
      <c r="H1021">
        <v>561</v>
      </c>
    </row>
    <row r="1022" spans="1:8" x14ac:dyDescent="0.3">
      <c r="A1022" t="s">
        <v>33</v>
      </c>
      <c r="B1022" s="2" t="s">
        <v>4</v>
      </c>
      <c r="E1022" t="s">
        <v>61</v>
      </c>
      <c r="H1022">
        <v>163</v>
      </c>
    </row>
    <row r="1023" spans="1:8" x14ac:dyDescent="0.3">
      <c r="A1023" t="s">
        <v>33</v>
      </c>
      <c r="B1023" s="2" t="s">
        <v>2</v>
      </c>
      <c r="E1023" t="s">
        <v>92</v>
      </c>
      <c r="H1023">
        <v>31</v>
      </c>
    </row>
    <row r="1024" spans="1:8" x14ac:dyDescent="0.3">
      <c r="A1024" t="s">
        <v>33</v>
      </c>
      <c r="B1024" s="2" t="s">
        <v>4</v>
      </c>
      <c r="E1024" t="s">
        <v>92</v>
      </c>
      <c r="H1024">
        <v>7</v>
      </c>
    </row>
    <row r="1025" spans="1:8" x14ac:dyDescent="0.3">
      <c r="A1025" t="s">
        <v>33</v>
      </c>
      <c r="B1025" s="2" t="s">
        <v>2</v>
      </c>
      <c r="E1025" t="s">
        <v>62</v>
      </c>
      <c r="H1025">
        <v>63</v>
      </c>
    </row>
    <row r="1026" spans="1:8" x14ac:dyDescent="0.3">
      <c r="A1026" t="s">
        <v>33</v>
      </c>
      <c r="B1026" s="2" t="s">
        <v>4</v>
      </c>
      <c r="E1026" t="s">
        <v>62</v>
      </c>
      <c r="H1026">
        <v>11</v>
      </c>
    </row>
    <row r="1027" spans="1:8" x14ac:dyDescent="0.3">
      <c r="A1027" t="s">
        <v>33</v>
      </c>
      <c r="B1027" s="2" t="s">
        <v>2</v>
      </c>
      <c r="F1027" t="s">
        <v>64</v>
      </c>
      <c r="H1027">
        <v>1533</v>
      </c>
    </row>
    <row r="1028" spans="1:8" x14ac:dyDescent="0.3">
      <c r="A1028" t="s">
        <v>33</v>
      </c>
      <c r="B1028" s="2" t="s">
        <v>4</v>
      </c>
      <c r="F1028" t="s">
        <v>64</v>
      </c>
      <c r="H1028">
        <v>436</v>
      </c>
    </row>
    <row r="1029" spans="1:8" x14ac:dyDescent="0.3">
      <c r="A1029" t="s">
        <v>33</v>
      </c>
      <c r="B1029" s="2" t="s">
        <v>56</v>
      </c>
      <c r="F1029" t="s">
        <v>64</v>
      </c>
      <c r="H1029">
        <v>2</v>
      </c>
    </row>
    <row r="1030" spans="1:8" x14ac:dyDescent="0.3">
      <c r="A1030" t="s">
        <v>33</v>
      </c>
      <c r="B1030" s="2" t="s">
        <v>2</v>
      </c>
      <c r="F1030" t="s">
        <v>18</v>
      </c>
      <c r="H1030">
        <v>6119</v>
      </c>
    </row>
    <row r="1031" spans="1:8" x14ac:dyDescent="0.3">
      <c r="A1031" t="s">
        <v>33</v>
      </c>
      <c r="B1031" s="2" t="s">
        <v>4</v>
      </c>
      <c r="F1031" t="s">
        <v>18</v>
      </c>
      <c r="H1031">
        <v>1519</v>
      </c>
    </row>
    <row r="1032" spans="1:8" x14ac:dyDescent="0.3">
      <c r="A1032" t="s">
        <v>33</v>
      </c>
      <c r="B1032" s="2" t="s">
        <v>2</v>
      </c>
      <c r="F1032" t="s">
        <v>19</v>
      </c>
      <c r="H1032">
        <v>195</v>
      </c>
    </row>
    <row r="1033" spans="1:8" x14ac:dyDescent="0.3">
      <c r="A1033" t="s">
        <v>33</v>
      </c>
      <c r="B1033" s="2" t="s">
        <v>4</v>
      </c>
      <c r="F1033" t="s">
        <v>19</v>
      </c>
      <c r="H1033">
        <v>120</v>
      </c>
    </row>
    <row r="1034" spans="1:8" x14ac:dyDescent="0.3">
      <c r="A1034" t="s">
        <v>33</v>
      </c>
      <c r="B1034" s="2" t="s">
        <v>2</v>
      </c>
      <c r="F1034" t="s">
        <v>20</v>
      </c>
      <c r="H1034">
        <v>69</v>
      </c>
    </row>
    <row r="1035" spans="1:8" x14ac:dyDescent="0.3">
      <c r="A1035" t="s">
        <v>33</v>
      </c>
      <c r="B1035" s="2" t="s">
        <v>4</v>
      </c>
      <c r="F1035" t="s">
        <v>20</v>
      </c>
      <c r="H1035">
        <v>29</v>
      </c>
    </row>
    <row r="1036" spans="1:8" x14ac:dyDescent="0.3">
      <c r="A1036" t="s">
        <v>33</v>
      </c>
      <c r="B1036" s="2" t="s">
        <v>2</v>
      </c>
      <c r="F1036" t="s">
        <v>65</v>
      </c>
      <c r="H1036">
        <v>81</v>
      </c>
    </row>
    <row r="1037" spans="1:8" x14ac:dyDescent="0.3">
      <c r="A1037" t="s">
        <v>33</v>
      </c>
      <c r="B1037" s="2" t="s">
        <v>4</v>
      </c>
      <c r="F1037" t="s">
        <v>65</v>
      </c>
      <c r="H1037">
        <v>20</v>
      </c>
    </row>
    <row r="1038" spans="1:8" x14ac:dyDescent="0.3">
      <c r="A1038" t="s">
        <v>33</v>
      </c>
      <c r="B1038" s="2" t="s">
        <v>2</v>
      </c>
      <c r="F1038" t="s">
        <v>66</v>
      </c>
      <c r="H1038">
        <v>34</v>
      </c>
    </row>
    <row r="1039" spans="1:8" x14ac:dyDescent="0.3">
      <c r="A1039" t="s">
        <v>33</v>
      </c>
      <c r="B1039" s="2" t="s">
        <v>4</v>
      </c>
      <c r="F1039" t="s">
        <v>66</v>
      </c>
      <c r="H1039">
        <v>5</v>
      </c>
    </row>
    <row r="1040" spans="1:8" x14ac:dyDescent="0.3">
      <c r="A1040" t="s">
        <v>33</v>
      </c>
      <c r="B1040" s="2" t="s">
        <v>4</v>
      </c>
      <c r="G1040" t="s">
        <v>68</v>
      </c>
      <c r="H1040">
        <v>1089</v>
      </c>
    </row>
    <row r="1041" spans="1:8" x14ac:dyDescent="0.3">
      <c r="A1041" t="s">
        <v>33</v>
      </c>
      <c r="B1041" s="2" t="s">
        <v>2</v>
      </c>
      <c r="G1041" t="s">
        <v>82</v>
      </c>
      <c r="H1041">
        <v>58</v>
      </c>
    </row>
    <row r="1042" spans="1:8" x14ac:dyDescent="0.3">
      <c r="A1042" t="s">
        <v>33</v>
      </c>
      <c r="B1042" s="2" t="s">
        <v>4</v>
      </c>
      <c r="G1042" t="s">
        <v>82</v>
      </c>
      <c r="H1042">
        <v>13</v>
      </c>
    </row>
    <row r="1043" spans="1:8" x14ac:dyDescent="0.3">
      <c r="A1043" t="s">
        <v>33</v>
      </c>
      <c r="B1043" s="2" t="s">
        <v>2</v>
      </c>
      <c r="G1043" t="s">
        <v>83</v>
      </c>
      <c r="H1043">
        <v>1005</v>
      </c>
    </row>
    <row r="1044" spans="1:8" x14ac:dyDescent="0.3">
      <c r="A1044" t="s">
        <v>33</v>
      </c>
      <c r="B1044" s="2" t="s">
        <v>4</v>
      </c>
      <c r="G1044" t="s">
        <v>83</v>
      </c>
      <c r="H1044">
        <v>97</v>
      </c>
    </row>
    <row r="1045" spans="1:8" x14ac:dyDescent="0.3">
      <c r="A1045" t="s">
        <v>33</v>
      </c>
      <c r="B1045" s="2" t="s">
        <v>2</v>
      </c>
      <c r="G1045" t="s">
        <v>69</v>
      </c>
      <c r="H1045">
        <v>248</v>
      </c>
    </row>
    <row r="1046" spans="1:8" x14ac:dyDescent="0.3">
      <c r="A1046" t="s">
        <v>33</v>
      </c>
      <c r="B1046" s="2" t="s">
        <v>4</v>
      </c>
      <c r="G1046" t="s">
        <v>69</v>
      </c>
      <c r="H1046">
        <v>237</v>
      </c>
    </row>
    <row r="1047" spans="1:8" x14ac:dyDescent="0.3">
      <c r="A1047" t="s">
        <v>33</v>
      </c>
      <c r="B1047" s="2" t="s">
        <v>2</v>
      </c>
      <c r="G1047" t="s">
        <v>70</v>
      </c>
      <c r="H1047">
        <v>1764</v>
      </c>
    </row>
    <row r="1048" spans="1:8" x14ac:dyDescent="0.3">
      <c r="A1048" t="s">
        <v>33</v>
      </c>
      <c r="B1048" s="2" t="s">
        <v>4</v>
      </c>
      <c r="G1048" t="s">
        <v>70</v>
      </c>
      <c r="H1048">
        <v>440</v>
      </c>
    </row>
    <row r="1049" spans="1:8" x14ac:dyDescent="0.3">
      <c r="A1049" t="s">
        <v>33</v>
      </c>
      <c r="B1049" s="2" t="s">
        <v>2</v>
      </c>
      <c r="G1049" t="s">
        <v>84</v>
      </c>
      <c r="H1049">
        <v>961</v>
      </c>
    </row>
    <row r="1050" spans="1:8" x14ac:dyDescent="0.3">
      <c r="A1050" t="s">
        <v>33</v>
      </c>
      <c r="B1050" s="2" t="s">
        <v>4</v>
      </c>
      <c r="G1050" t="s">
        <v>84</v>
      </c>
      <c r="H1050">
        <v>30</v>
      </c>
    </row>
    <row r="1051" spans="1:8" x14ac:dyDescent="0.3">
      <c r="A1051" t="s">
        <v>33</v>
      </c>
      <c r="B1051" s="2" t="s">
        <v>2</v>
      </c>
      <c r="G1051" t="s">
        <v>85</v>
      </c>
      <c r="H1051">
        <v>224</v>
      </c>
    </row>
    <row r="1052" spans="1:8" x14ac:dyDescent="0.3">
      <c r="A1052" t="s">
        <v>33</v>
      </c>
      <c r="B1052" s="2" t="s">
        <v>4</v>
      </c>
      <c r="G1052" t="s">
        <v>85</v>
      </c>
      <c r="H1052">
        <v>9</v>
      </c>
    </row>
    <row r="1053" spans="1:8" x14ac:dyDescent="0.3">
      <c r="A1053" t="s">
        <v>33</v>
      </c>
      <c r="B1053" s="2" t="s">
        <v>2</v>
      </c>
      <c r="G1053" t="s">
        <v>71</v>
      </c>
      <c r="H1053">
        <v>3421</v>
      </c>
    </row>
    <row r="1054" spans="1:8" x14ac:dyDescent="0.3">
      <c r="A1054" t="s">
        <v>33</v>
      </c>
      <c r="B1054" s="2" t="s">
        <v>4</v>
      </c>
      <c r="G1054" t="s">
        <v>71</v>
      </c>
      <c r="H1054">
        <v>190</v>
      </c>
    </row>
    <row r="1055" spans="1:8" x14ac:dyDescent="0.3">
      <c r="A1055" t="s">
        <v>33</v>
      </c>
      <c r="B1055" s="2" t="s">
        <v>56</v>
      </c>
      <c r="G1055" t="s">
        <v>71</v>
      </c>
      <c r="H1055">
        <v>2</v>
      </c>
    </row>
    <row r="1056" spans="1:8" x14ac:dyDescent="0.3">
      <c r="A1056" t="s">
        <v>33</v>
      </c>
      <c r="B1056" s="2" t="s">
        <v>2</v>
      </c>
      <c r="G1056" t="s">
        <v>72</v>
      </c>
      <c r="H1056">
        <v>350</v>
      </c>
    </row>
    <row r="1057" spans="1:8" x14ac:dyDescent="0.3">
      <c r="A1057" t="s">
        <v>33</v>
      </c>
      <c r="B1057" s="2" t="s">
        <v>4</v>
      </c>
      <c r="G1057" t="s">
        <v>72</v>
      </c>
      <c r="H1057">
        <v>24</v>
      </c>
    </row>
    <row r="1058" spans="1:8" x14ac:dyDescent="0.3">
      <c r="A1058" t="s">
        <v>34</v>
      </c>
      <c r="B1058" s="2" t="s">
        <v>2</v>
      </c>
      <c r="C1058" s="4" t="s">
        <v>13</v>
      </c>
      <c r="H1058" s="3">
        <v>330</v>
      </c>
    </row>
    <row r="1059" spans="1:8" x14ac:dyDescent="0.3">
      <c r="A1059" t="s">
        <v>34</v>
      </c>
      <c r="B1059" s="2" t="s">
        <v>4</v>
      </c>
      <c r="C1059" s="4" t="s">
        <v>13</v>
      </c>
      <c r="H1059" s="3">
        <v>178</v>
      </c>
    </row>
    <row r="1060" spans="1:8" x14ac:dyDescent="0.3">
      <c r="A1060" t="s">
        <v>34</v>
      </c>
      <c r="B1060" s="2" t="s">
        <v>2</v>
      </c>
      <c r="C1060" s="4" t="s">
        <v>104</v>
      </c>
      <c r="H1060" s="3">
        <f>116+26</f>
        <v>142</v>
      </c>
    </row>
    <row r="1061" spans="1:8" x14ac:dyDescent="0.3">
      <c r="A1061" t="s">
        <v>34</v>
      </c>
      <c r="B1061" s="2" t="s">
        <v>4</v>
      </c>
      <c r="C1061" s="4" t="s">
        <v>104</v>
      </c>
      <c r="H1061" s="3">
        <v>208</v>
      </c>
    </row>
    <row r="1062" spans="1:8" x14ac:dyDescent="0.3">
      <c r="A1062" t="s">
        <v>34</v>
      </c>
      <c r="B1062" s="2" t="s">
        <v>2</v>
      </c>
      <c r="C1062" s="4" t="s">
        <v>7</v>
      </c>
      <c r="H1062" s="3">
        <v>7807</v>
      </c>
    </row>
    <row r="1063" spans="1:8" x14ac:dyDescent="0.3">
      <c r="A1063" t="s">
        <v>34</v>
      </c>
      <c r="B1063" s="2" t="s">
        <v>4</v>
      </c>
      <c r="C1063" s="4" t="s">
        <v>7</v>
      </c>
      <c r="H1063" s="3">
        <v>2834</v>
      </c>
    </row>
    <row r="1064" spans="1:8" x14ac:dyDescent="0.3">
      <c r="A1064" t="s">
        <v>34</v>
      </c>
      <c r="B1064" s="2" t="s">
        <v>2</v>
      </c>
      <c r="C1064" s="4" t="s">
        <v>103</v>
      </c>
      <c r="H1064" s="3">
        <v>1859</v>
      </c>
    </row>
    <row r="1065" spans="1:8" x14ac:dyDescent="0.3">
      <c r="A1065" t="s">
        <v>34</v>
      </c>
      <c r="B1065" s="2" t="s">
        <v>4</v>
      </c>
      <c r="C1065" s="4" t="s">
        <v>103</v>
      </c>
      <c r="H1065" s="3">
        <v>1426</v>
      </c>
    </row>
    <row r="1066" spans="1:8" x14ac:dyDescent="0.3">
      <c r="A1066" t="s">
        <v>34</v>
      </c>
      <c r="B1066" s="2" t="s">
        <v>2</v>
      </c>
      <c r="C1066" s="4" t="s">
        <v>79</v>
      </c>
      <c r="H1066" s="3">
        <v>121</v>
      </c>
    </row>
    <row r="1067" spans="1:8" x14ac:dyDescent="0.3">
      <c r="A1067" t="s">
        <v>34</v>
      </c>
      <c r="B1067" s="2" t="s">
        <v>4</v>
      </c>
      <c r="C1067" s="4" t="s">
        <v>79</v>
      </c>
      <c r="H1067" s="3">
        <v>51</v>
      </c>
    </row>
    <row r="1068" spans="1:8" x14ac:dyDescent="0.3">
      <c r="A1068" t="s">
        <v>34</v>
      </c>
      <c r="B1068" s="2" t="s">
        <v>2</v>
      </c>
      <c r="C1068" s="4" t="s">
        <v>105</v>
      </c>
      <c r="H1068" s="3">
        <v>150</v>
      </c>
    </row>
    <row r="1069" spans="1:8" x14ac:dyDescent="0.3">
      <c r="A1069" t="s">
        <v>34</v>
      </c>
      <c r="B1069" s="2" t="s">
        <v>4</v>
      </c>
      <c r="C1069" s="4" t="s">
        <v>105</v>
      </c>
      <c r="H1069" s="3">
        <v>30</v>
      </c>
    </row>
    <row r="1070" spans="1:8" x14ac:dyDescent="0.3">
      <c r="A1070" t="s">
        <v>34</v>
      </c>
      <c r="B1070" s="2" t="s">
        <v>2</v>
      </c>
      <c r="C1070" s="4" t="s">
        <v>58</v>
      </c>
      <c r="H1070" s="3">
        <v>21</v>
      </c>
    </row>
    <row r="1071" spans="1:8" x14ac:dyDescent="0.3">
      <c r="A1071" t="s">
        <v>34</v>
      </c>
      <c r="B1071" s="2" t="s">
        <v>4</v>
      </c>
      <c r="C1071" s="4" t="s">
        <v>58</v>
      </c>
      <c r="H1071" s="3">
        <v>14</v>
      </c>
    </row>
    <row r="1072" spans="1:8" x14ac:dyDescent="0.3">
      <c r="A1072" t="s">
        <v>34</v>
      </c>
      <c r="B1072" s="2" t="s">
        <v>2</v>
      </c>
      <c r="C1072" s="4" t="s">
        <v>59</v>
      </c>
      <c r="H1072" s="3">
        <v>127</v>
      </c>
    </row>
    <row r="1073" spans="1:8" x14ac:dyDescent="0.3">
      <c r="A1073" t="s">
        <v>34</v>
      </c>
      <c r="B1073" s="2" t="s">
        <v>4</v>
      </c>
      <c r="C1073" s="4" t="s">
        <v>59</v>
      </c>
      <c r="H1073" s="3">
        <v>88</v>
      </c>
    </row>
    <row r="1074" spans="1:8" x14ac:dyDescent="0.3">
      <c r="A1074" t="s">
        <v>34</v>
      </c>
      <c r="B1074" s="2" t="s">
        <v>2</v>
      </c>
      <c r="D1074" t="s">
        <v>81</v>
      </c>
      <c r="H1074">
        <v>339</v>
      </c>
    </row>
    <row r="1075" spans="1:8" x14ac:dyDescent="0.3">
      <c r="A1075" t="s">
        <v>34</v>
      </c>
      <c r="B1075" s="2" t="s">
        <v>4</v>
      </c>
      <c r="D1075" t="s">
        <v>81</v>
      </c>
      <c r="H1075">
        <v>235</v>
      </c>
    </row>
    <row r="1076" spans="1:8" x14ac:dyDescent="0.3">
      <c r="A1076" t="s">
        <v>34</v>
      </c>
      <c r="B1076" s="2" t="s">
        <v>4</v>
      </c>
      <c r="D1076" t="s">
        <v>73</v>
      </c>
      <c r="H1076">
        <v>479</v>
      </c>
    </row>
    <row r="1077" spans="1:8" x14ac:dyDescent="0.3">
      <c r="A1077" t="s">
        <v>34</v>
      </c>
      <c r="B1077" s="2" t="s">
        <v>2</v>
      </c>
      <c r="D1077" t="s">
        <v>74</v>
      </c>
      <c r="H1077">
        <v>63</v>
      </c>
    </row>
    <row r="1078" spans="1:8" x14ac:dyDescent="0.3">
      <c r="A1078" t="s">
        <v>34</v>
      </c>
      <c r="B1078" s="2" t="s">
        <v>4</v>
      </c>
      <c r="D1078" t="s">
        <v>74</v>
      </c>
      <c r="H1078">
        <v>66</v>
      </c>
    </row>
    <row r="1079" spans="1:8" x14ac:dyDescent="0.3">
      <c r="A1079" t="s">
        <v>34</v>
      </c>
      <c r="B1079" s="2" t="s">
        <v>2</v>
      </c>
      <c r="D1079" t="s">
        <v>3</v>
      </c>
      <c r="H1079">
        <v>24</v>
      </c>
    </row>
    <row r="1080" spans="1:8" x14ac:dyDescent="0.3">
      <c r="A1080" t="s">
        <v>34</v>
      </c>
      <c r="B1080" s="2" t="s">
        <v>4</v>
      </c>
      <c r="D1080" t="s">
        <v>3</v>
      </c>
      <c r="H1080">
        <v>9</v>
      </c>
    </row>
    <row r="1081" spans="1:8" x14ac:dyDescent="0.3">
      <c r="A1081" t="s">
        <v>34</v>
      </c>
      <c r="B1081" s="2" t="s">
        <v>2</v>
      </c>
      <c r="D1081" t="s">
        <v>9</v>
      </c>
      <c r="H1081">
        <v>138</v>
      </c>
    </row>
    <row r="1082" spans="1:8" x14ac:dyDescent="0.3">
      <c r="A1082" t="s">
        <v>34</v>
      </c>
      <c r="B1082" s="2" t="s">
        <v>4</v>
      </c>
      <c r="D1082" t="s">
        <v>9</v>
      </c>
      <c r="H1082">
        <v>139</v>
      </c>
    </row>
    <row r="1083" spans="1:8" x14ac:dyDescent="0.3">
      <c r="A1083" t="s">
        <v>34</v>
      </c>
      <c r="B1083" s="2" t="s">
        <v>2</v>
      </c>
      <c r="D1083" t="s">
        <v>75</v>
      </c>
      <c r="H1083">
        <v>25</v>
      </c>
    </row>
    <row r="1084" spans="1:8" x14ac:dyDescent="0.3">
      <c r="A1084" t="s">
        <v>34</v>
      </c>
      <c r="B1084" s="2" t="s">
        <v>4</v>
      </c>
      <c r="D1084" t="s">
        <v>75</v>
      </c>
      <c r="H1084">
        <v>26</v>
      </c>
    </row>
    <row r="1085" spans="1:8" x14ac:dyDescent="0.3">
      <c r="A1085" t="s">
        <v>34</v>
      </c>
      <c r="B1085" s="2" t="s">
        <v>2</v>
      </c>
      <c r="D1085" t="s">
        <v>11</v>
      </c>
      <c r="H1085">
        <v>2657</v>
      </c>
    </row>
    <row r="1086" spans="1:8" x14ac:dyDescent="0.3">
      <c r="A1086" t="s">
        <v>34</v>
      </c>
      <c r="B1086" s="2" t="s">
        <v>4</v>
      </c>
      <c r="D1086" t="s">
        <v>11</v>
      </c>
      <c r="H1086">
        <v>1248</v>
      </c>
    </row>
    <row r="1087" spans="1:8" x14ac:dyDescent="0.3">
      <c r="A1087" t="s">
        <v>34</v>
      </c>
      <c r="B1087" s="2" t="s">
        <v>2</v>
      </c>
      <c r="D1087" t="s">
        <v>80</v>
      </c>
      <c r="H1087">
        <v>2167</v>
      </c>
    </row>
    <row r="1088" spans="1:8" x14ac:dyDescent="0.3">
      <c r="A1088" t="s">
        <v>34</v>
      </c>
      <c r="B1088" s="2" t="s">
        <v>4</v>
      </c>
      <c r="D1088" t="s">
        <v>80</v>
      </c>
      <c r="H1088">
        <v>1050</v>
      </c>
    </row>
    <row r="1089" spans="1:8" x14ac:dyDescent="0.3">
      <c r="A1089" t="s">
        <v>34</v>
      </c>
      <c r="B1089" s="2" t="s">
        <v>2</v>
      </c>
      <c r="D1089" t="s">
        <v>8</v>
      </c>
      <c r="H1089">
        <v>129</v>
      </c>
    </row>
    <row r="1090" spans="1:8" x14ac:dyDescent="0.3">
      <c r="A1090" t="s">
        <v>34</v>
      </c>
      <c r="B1090" s="2" t="s">
        <v>4</v>
      </c>
      <c r="D1090" t="s">
        <v>8</v>
      </c>
      <c r="H1090">
        <v>76</v>
      </c>
    </row>
    <row r="1091" spans="1:8" x14ac:dyDescent="0.3">
      <c r="A1091" t="s">
        <v>34</v>
      </c>
      <c r="B1091" s="2" t="s">
        <v>2</v>
      </c>
      <c r="D1091" t="s">
        <v>76</v>
      </c>
      <c r="H1091">
        <v>1761</v>
      </c>
    </row>
    <row r="1092" spans="1:8" x14ac:dyDescent="0.3">
      <c r="A1092" t="s">
        <v>34</v>
      </c>
      <c r="B1092" s="2" t="s">
        <v>4</v>
      </c>
      <c r="D1092" t="s">
        <v>76</v>
      </c>
      <c r="H1092">
        <v>71</v>
      </c>
    </row>
    <row r="1093" spans="1:8" x14ac:dyDescent="0.3">
      <c r="A1093" t="s">
        <v>34</v>
      </c>
      <c r="B1093" s="2" t="s">
        <v>2</v>
      </c>
      <c r="D1093" t="s">
        <v>10</v>
      </c>
      <c r="H1093">
        <v>78</v>
      </c>
    </row>
    <row r="1094" spans="1:8" x14ac:dyDescent="0.3">
      <c r="A1094" t="s">
        <v>34</v>
      </c>
      <c r="B1094" s="2" t="s">
        <v>4</v>
      </c>
      <c r="D1094" t="s">
        <v>10</v>
      </c>
      <c r="H1094">
        <v>39</v>
      </c>
    </row>
    <row r="1095" spans="1:8" x14ac:dyDescent="0.3">
      <c r="A1095" t="s">
        <v>34</v>
      </c>
      <c r="B1095" s="2" t="s">
        <v>2</v>
      </c>
      <c r="D1095" t="s">
        <v>5</v>
      </c>
      <c r="H1095">
        <v>3</v>
      </c>
    </row>
    <row r="1096" spans="1:8" x14ac:dyDescent="0.3">
      <c r="A1096" t="s">
        <v>34</v>
      </c>
      <c r="B1096" s="2" t="s">
        <v>4</v>
      </c>
      <c r="D1096" t="s">
        <v>5</v>
      </c>
      <c r="H1096">
        <v>9</v>
      </c>
    </row>
    <row r="1097" spans="1:8" x14ac:dyDescent="0.3">
      <c r="A1097" t="s">
        <v>34</v>
      </c>
      <c r="B1097" s="2" t="s">
        <v>2</v>
      </c>
      <c r="D1097" t="s">
        <v>14</v>
      </c>
      <c r="H1097">
        <v>365</v>
      </c>
    </row>
    <row r="1098" spans="1:8" x14ac:dyDescent="0.3">
      <c r="A1098" t="s">
        <v>34</v>
      </c>
      <c r="B1098" s="2" t="s">
        <v>4</v>
      </c>
      <c r="D1098" t="s">
        <v>14</v>
      </c>
      <c r="H1098">
        <v>251</v>
      </c>
    </row>
    <row r="1099" spans="1:8" x14ac:dyDescent="0.3">
      <c r="A1099" t="s">
        <v>34</v>
      </c>
      <c r="B1099" s="2" t="s">
        <v>2</v>
      </c>
      <c r="D1099" t="s">
        <v>15</v>
      </c>
      <c r="H1099">
        <v>18</v>
      </c>
    </row>
    <row r="1100" spans="1:8" x14ac:dyDescent="0.3">
      <c r="A1100" t="s">
        <v>34</v>
      </c>
      <c r="B1100" s="2" t="s">
        <v>4</v>
      </c>
      <c r="D1100" t="s">
        <v>15</v>
      </c>
      <c r="H1100">
        <v>5</v>
      </c>
    </row>
    <row r="1101" spans="1:8" x14ac:dyDescent="0.3">
      <c r="A1101" t="s">
        <v>34</v>
      </c>
      <c r="B1101" s="2" t="s">
        <v>2</v>
      </c>
      <c r="D1101" t="s">
        <v>17</v>
      </c>
      <c r="H1101">
        <v>49</v>
      </c>
    </row>
    <row r="1102" spans="1:8" x14ac:dyDescent="0.3">
      <c r="A1102" t="s">
        <v>34</v>
      </c>
      <c r="B1102" s="2" t="s">
        <v>4</v>
      </c>
      <c r="D1102" t="s">
        <v>17</v>
      </c>
      <c r="H1102">
        <v>5</v>
      </c>
    </row>
    <row r="1103" spans="1:8" x14ac:dyDescent="0.3">
      <c r="A1103" t="s">
        <v>34</v>
      </c>
      <c r="B1103" s="2" t="s">
        <v>2</v>
      </c>
      <c r="D1103" t="s">
        <v>6</v>
      </c>
      <c r="H1103">
        <v>124</v>
      </c>
    </row>
    <row r="1104" spans="1:8" x14ac:dyDescent="0.3">
      <c r="A1104" t="s">
        <v>34</v>
      </c>
      <c r="B1104" s="2" t="s">
        <v>4</v>
      </c>
      <c r="D1104" t="s">
        <v>6</v>
      </c>
      <c r="H1104">
        <v>47</v>
      </c>
    </row>
    <row r="1105" spans="1:8" x14ac:dyDescent="0.3">
      <c r="A1105" t="s">
        <v>34</v>
      </c>
      <c r="B1105" s="2" t="s">
        <v>4</v>
      </c>
      <c r="D1105" t="s">
        <v>12</v>
      </c>
      <c r="H1105">
        <v>4</v>
      </c>
    </row>
    <row r="1106" spans="1:8" x14ac:dyDescent="0.3">
      <c r="A1106" t="s">
        <v>34</v>
      </c>
      <c r="B1106" s="2" t="s">
        <v>4</v>
      </c>
      <c r="D1106" t="s">
        <v>77</v>
      </c>
      <c r="H1106">
        <v>12</v>
      </c>
    </row>
    <row r="1107" spans="1:8" x14ac:dyDescent="0.3">
      <c r="A1107" t="s">
        <v>34</v>
      </c>
      <c r="B1107" s="2" t="s">
        <v>2</v>
      </c>
      <c r="D1107" t="s">
        <v>16</v>
      </c>
      <c r="H1107">
        <v>66</v>
      </c>
    </row>
    <row r="1108" spans="1:8" x14ac:dyDescent="0.3">
      <c r="A1108" t="s">
        <v>34</v>
      </c>
      <c r="B1108" s="2" t="s">
        <v>4</v>
      </c>
      <c r="D1108" t="s">
        <v>16</v>
      </c>
      <c r="H1108">
        <v>11</v>
      </c>
    </row>
    <row r="1109" spans="1:8" x14ac:dyDescent="0.3">
      <c r="A1109" t="s">
        <v>34</v>
      </c>
      <c r="B1109" s="2" t="s">
        <v>2</v>
      </c>
      <c r="D1109" t="s">
        <v>78</v>
      </c>
      <c r="H1109">
        <f>912+1649</f>
        <v>2561</v>
      </c>
    </row>
    <row r="1110" spans="1:8" x14ac:dyDescent="0.3">
      <c r="A1110" t="s">
        <v>34</v>
      </c>
      <c r="B1110" s="2" t="s">
        <v>4</v>
      </c>
      <c r="D1110" t="s">
        <v>78</v>
      </c>
      <c r="H1110">
        <f>317+720</f>
        <v>1037</v>
      </c>
    </row>
    <row r="1111" spans="1:8" x14ac:dyDescent="0.3">
      <c r="A1111" t="s">
        <v>34</v>
      </c>
      <c r="B1111" s="2" t="s">
        <v>2</v>
      </c>
      <c r="E1111" t="s">
        <v>21</v>
      </c>
      <c r="H1111">
        <v>1886</v>
      </c>
    </row>
    <row r="1112" spans="1:8" x14ac:dyDescent="0.3">
      <c r="A1112" t="s">
        <v>34</v>
      </c>
      <c r="B1112" s="2" t="s">
        <v>4</v>
      </c>
      <c r="E1112" t="s">
        <v>21</v>
      </c>
      <c r="H1112">
        <v>892</v>
      </c>
    </row>
    <row r="1113" spans="1:8" x14ac:dyDescent="0.3">
      <c r="A1113" t="s">
        <v>34</v>
      </c>
      <c r="B1113" s="2" t="s">
        <v>2</v>
      </c>
      <c r="E1113" t="s">
        <v>91</v>
      </c>
      <c r="H1113">
        <f>2161+2023</f>
        <v>4184</v>
      </c>
    </row>
    <row r="1114" spans="1:8" x14ac:dyDescent="0.3">
      <c r="A1114" t="s">
        <v>34</v>
      </c>
      <c r="B1114" s="2" t="s">
        <v>4</v>
      </c>
      <c r="E1114" t="s">
        <v>91</v>
      </c>
      <c r="H1114">
        <f>966+1118</f>
        <v>2084</v>
      </c>
    </row>
    <row r="1115" spans="1:8" x14ac:dyDescent="0.3">
      <c r="A1115" t="s">
        <v>34</v>
      </c>
      <c r="B1115" s="2" t="s">
        <v>2</v>
      </c>
      <c r="E1115" t="s">
        <v>90</v>
      </c>
      <c r="H1115">
        <v>2139</v>
      </c>
    </row>
    <row r="1116" spans="1:8" x14ac:dyDescent="0.3">
      <c r="A1116" t="s">
        <v>34</v>
      </c>
      <c r="B1116" s="2" t="s">
        <v>4</v>
      </c>
      <c r="E1116" t="s">
        <v>90</v>
      </c>
      <c r="H1116">
        <v>904</v>
      </c>
    </row>
    <row r="1117" spans="1:8" x14ac:dyDescent="0.3">
      <c r="A1117" t="s">
        <v>34</v>
      </c>
      <c r="B1117" s="2" t="s">
        <v>2</v>
      </c>
      <c r="E1117" t="s">
        <v>89</v>
      </c>
      <c r="H1117">
        <v>1632</v>
      </c>
    </row>
    <row r="1118" spans="1:8" x14ac:dyDescent="0.3">
      <c r="A1118" t="s">
        <v>34</v>
      </c>
      <c r="B1118" s="2" t="s">
        <v>4</v>
      </c>
      <c r="E1118" t="s">
        <v>89</v>
      </c>
      <c r="H1118">
        <v>675</v>
      </c>
    </row>
    <row r="1119" spans="1:8" x14ac:dyDescent="0.3">
      <c r="A1119" t="s">
        <v>34</v>
      </c>
      <c r="B1119" s="2" t="s">
        <v>2</v>
      </c>
      <c r="E1119" t="s">
        <v>60</v>
      </c>
      <c r="H1119">
        <v>70</v>
      </c>
    </row>
    <row r="1120" spans="1:8" x14ac:dyDescent="0.3">
      <c r="A1120" t="s">
        <v>34</v>
      </c>
      <c r="B1120" s="2" t="s">
        <v>4</v>
      </c>
      <c r="E1120" t="s">
        <v>60</v>
      </c>
      <c r="H1120">
        <v>9</v>
      </c>
    </row>
    <row r="1121" spans="1:8" x14ac:dyDescent="0.3">
      <c r="A1121" t="s">
        <v>34</v>
      </c>
      <c r="B1121" s="2" t="s">
        <v>2</v>
      </c>
      <c r="E1121" t="s">
        <v>61</v>
      </c>
      <c r="H1121">
        <v>396</v>
      </c>
    </row>
    <row r="1122" spans="1:8" x14ac:dyDescent="0.3">
      <c r="A1122" t="s">
        <v>34</v>
      </c>
      <c r="B1122" s="2" t="s">
        <v>4</v>
      </c>
      <c r="E1122" t="s">
        <v>61</v>
      </c>
      <c r="H1122">
        <v>168</v>
      </c>
    </row>
    <row r="1123" spans="1:8" x14ac:dyDescent="0.3">
      <c r="A1123" t="s">
        <v>34</v>
      </c>
      <c r="B1123" s="2" t="s">
        <v>2</v>
      </c>
      <c r="E1123" t="s">
        <v>92</v>
      </c>
      <c r="H1123">
        <v>12</v>
      </c>
    </row>
    <row r="1124" spans="1:8" x14ac:dyDescent="0.3">
      <c r="A1124" t="s">
        <v>34</v>
      </c>
      <c r="B1124" s="2" t="s">
        <v>4</v>
      </c>
      <c r="E1124" t="s">
        <v>92</v>
      </c>
      <c r="H1124">
        <v>6</v>
      </c>
    </row>
    <row r="1125" spans="1:8" x14ac:dyDescent="0.3">
      <c r="A1125" t="s">
        <v>34</v>
      </c>
      <c r="B1125" s="2" t="s">
        <v>2</v>
      </c>
      <c r="E1125" t="s">
        <v>62</v>
      </c>
      <c r="H1125">
        <v>248</v>
      </c>
    </row>
    <row r="1126" spans="1:8" x14ac:dyDescent="0.3">
      <c r="A1126" t="s">
        <v>34</v>
      </c>
      <c r="B1126" s="2" t="s">
        <v>4</v>
      </c>
      <c r="E1126" t="s">
        <v>62</v>
      </c>
      <c r="H1126">
        <v>81</v>
      </c>
    </row>
    <row r="1127" spans="1:8" x14ac:dyDescent="0.3">
      <c r="A1127" t="s">
        <v>34</v>
      </c>
      <c r="B1127" s="2" t="s">
        <v>2</v>
      </c>
      <c r="F1127" t="s">
        <v>64</v>
      </c>
      <c r="H1127">
        <v>2613</v>
      </c>
    </row>
    <row r="1128" spans="1:8" x14ac:dyDescent="0.3">
      <c r="A1128" t="s">
        <v>34</v>
      </c>
      <c r="B1128" s="2" t="s">
        <v>4</v>
      </c>
      <c r="F1128" t="s">
        <v>64</v>
      </c>
      <c r="H1128">
        <v>1459</v>
      </c>
    </row>
    <row r="1129" spans="1:8" x14ac:dyDescent="0.3">
      <c r="A1129" t="s">
        <v>34</v>
      </c>
      <c r="B1129" s="2" t="s">
        <v>2</v>
      </c>
      <c r="F1129" t="s">
        <v>18</v>
      </c>
      <c r="H1129">
        <v>7532</v>
      </c>
    </row>
    <row r="1130" spans="1:8" x14ac:dyDescent="0.3">
      <c r="A1130" t="s">
        <v>34</v>
      </c>
      <c r="B1130" s="2" t="s">
        <v>4</v>
      </c>
      <c r="F1130" t="s">
        <v>18</v>
      </c>
      <c r="H1130">
        <v>3128</v>
      </c>
    </row>
    <row r="1131" spans="1:8" x14ac:dyDescent="0.3">
      <c r="A1131" t="s">
        <v>34</v>
      </c>
      <c r="B1131" s="2" t="s">
        <v>2</v>
      </c>
      <c r="F1131" t="s">
        <v>19</v>
      </c>
      <c r="H1131">
        <v>103</v>
      </c>
    </row>
    <row r="1132" spans="1:8" x14ac:dyDescent="0.3">
      <c r="A1132" t="s">
        <v>34</v>
      </c>
      <c r="B1132" s="2" t="s">
        <v>4</v>
      </c>
      <c r="F1132" t="s">
        <v>19</v>
      </c>
      <c r="H1132">
        <v>118</v>
      </c>
    </row>
    <row r="1133" spans="1:8" x14ac:dyDescent="0.3">
      <c r="A1133" t="s">
        <v>34</v>
      </c>
      <c r="B1133" s="2" t="s">
        <v>2</v>
      </c>
      <c r="F1133" t="s">
        <v>20</v>
      </c>
      <c r="H1133">
        <v>37</v>
      </c>
    </row>
    <row r="1134" spans="1:8" x14ac:dyDescent="0.3">
      <c r="A1134" t="s">
        <v>34</v>
      </c>
      <c r="B1134" s="2" t="s">
        <v>4</v>
      </c>
      <c r="F1134" t="s">
        <v>20</v>
      </c>
      <c r="H1134">
        <v>29</v>
      </c>
    </row>
    <row r="1135" spans="1:8" x14ac:dyDescent="0.3">
      <c r="A1135" t="s">
        <v>34</v>
      </c>
      <c r="B1135" s="2" t="s">
        <v>2</v>
      </c>
      <c r="F1135" t="s">
        <v>65</v>
      </c>
      <c r="H1135">
        <v>21</v>
      </c>
    </row>
    <row r="1136" spans="1:8" x14ac:dyDescent="0.3">
      <c r="A1136" t="s">
        <v>34</v>
      </c>
      <c r="B1136" s="2" t="s">
        <v>4</v>
      </c>
      <c r="F1136" t="s">
        <v>65</v>
      </c>
      <c r="H1136">
        <v>23</v>
      </c>
    </row>
    <row r="1137" spans="1:8" x14ac:dyDescent="0.3">
      <c r="A1137" t="s">
        <v>34</v>
      </c>
      <c r="B1137" s="2" t="s">
        <v>2</v>
      </c>
      <c r="F1137" t="s">
        <v>66</v>
      </c>
      <c r="H1137">
        <f>129+132</f>
        <v>261</v>
      </c>
    </row>
    <row r="1138" spans="1:8" x14ac:dyDescent="0.3">
      <c r="A1138" t="s">
        <v>34</v>
      </c>
      <c r="B1138" s="2" t="s">
        <v>4</v>
      </c>
      <c r="F1138" t="s">
        <v>66</v>
      </c>
      <c r="H1138">
        <v>62</v>
      </c>
    </row>
    <row r="1139" spans="1:8" x14ac:dyDescent="0.3">
      <c r="A1139" t="s">
        <v>34</v>
      </c>
      <c r="B1139" s="2" t="s">
        <v>4</v>
      </c>
      <c r="G1139" t="s">
        <v>68</v>
      </c>
      <c r="H1139">
        <v>2682</v>
      </c>
    </row>
    <row r="1140" spans="1:8" x14ac:dyDescent="0.3">
      <c r="A1140" t="s">
        <v>34</v>
      </c>
      <c r="B1140" s="2" t="s">
        <v>2</v>
      </c>
      <c r="G1140" t="s">
        <v>82</v>
      </c>
      <c r="H1140">
        <v>150</v>
      </c>
    </row>
    <row r="1141" spans="1:8" x14ac:dyDescent="0.3">
      <c r="A1141" t="s">
        <v>34</v>
      </c>
      <c r="B1141" s="2" t="s">
        <v>4</v>
      </c>
      <c r="G1141" t="s">
        <v>82</v>
      </c>
      <c r="H1141">
        <v>13</v>
      </c>
    </row>
    <row r="1142" spans="1:8" x14ac:dyDescent="0.3">
      <c r="A1142" t="s">
        <v>34</v>
      </c>
      <c r="B1142" s="2" t="s">
        <v>2</v>
      </c>
      <c r="G1142" t="s">
        <v>83</v>
      </c>
      <c r="H1142">
        <v>1058</v>
      </c>
    </row>
    <row r="1143" spans="1:8" x14ac:dyDescent="0.3">
      <c r="A1143" t="s">
        <v>34</v>
      </c>
      <c r="B1143" s="2" t="s">
        <v>4</v>
      </c>
      <c r="G1143" t="s">
        <v>83</v>
      </c>
      <c r="H1143">
        <v>126</v>
      </c>
    </row>
    <row r="1144" spans="1:8" x14ac:dyDescent="0.3">
      <c r="A1144" t="s">
        <v>34</v>
      </c>
      <c r="B1144" s="2" t="s">
        <v>2</v>
      </c>
      <c r="G1144" t="s">
        <v>69</v>
      </c>
      <c r="H1144">
        <v>699</v>
      </c>
    </row>
    <row r="1145" spans="1:8" x14ac:dyDescent="0.3">
      <c r="A1145" t="s">
        <v>34</v>
      </c>
      <c r="B1145" s="2" t="s">
        <v>4</v>
      </c>
      <c r="G1145" t="s">
        <v>69</v>
      </c>
      <c r="H1145">
        <v>641</v>
      </c>
    </row>
    <row r="1146" spans="1:8" x14ac:dyDescent="0.3">
      <c r="A1146" t="s">
        <v>34</v>
      </c>
      <c r="B1146" s="2" t="s">
        <v>2</v>
      </c>
      <c r="G1146" t="s">
        <v>70</v>
      </c>
      <c r="H1146">
        <v>596</v>
      </c>
    </row>
    <row r="1147" spans="1:8" x14ac:dyDescent="0.3">
      <c r="A1147" t="s">
        <v>34</v>
      </c>
      <c r="B1147" s="2" t="s">
        <v>4</v>
      </c>
      <c r="G1147" t="s">
        <v>70</v>
      </c>
      <c r="H1147">
        <v>216</v>
      </c>
    </row>
    <row r="1148" spans="1:8" x14ac:dyDescent="0.3">
      <c r="A1148" t="s">
        <v>34</v>
      </c>
      <c r="B1148" s="2" t="s">
        <v>2</v>
      </c>
      <c r="G1148" t="s">
        <v>84</v>
      </c>
      <c r="H1148">
        <v>1312</v>
      </c>
    </row>
    <row r="1149" spans="1:8" x14ac:dyDescent="0.3">
      <c r="A1149" t="s">
        <v>34</v>
      </c>
      <c r="B1149" s="2" t="s">
        <v>4</v>
      </c>
      <c r="G1149" t="s">
        <v>84</v>
      </c>
      <c r="H1149">
        <v>61</v>
      </c>
    </row>
    <row r="1150" spans="1:8" x14ac:dyDescent="0.3">
      <c r="A1150" t="s">
        <v>34</v>
      </c>
      <c r="B1150" s="2" t="s">
        <v>2</v>
      </c>
      <c r="G1150" t="s">
        <v>85</v>
      </c>
      <c r="H1150">
        <v>606</v>
      </c>
    </row>
    <row r="1151" spans="1:8" x14ac:dyDescent="0.3">
      <c r="A1151" t="s">
        <v>34</v>
      </c>
      <c r="B1151" s="2" t="s">
        <v>4</v>
      </c>
      <c r="G1151" t="s">
        <v>85</v>
      </c>
      <c r="H1151">
        <v>33</v>
      </c>
    </row>
    <row r="1152" spans="1:8" x14ac:dyDescent="0.3">
      <c r="A1152" t="s">
        <v>34</v>
      </c>
      <c r="B1152" s="2" t="s">
        <v>2</v>
      </c>
      <c r="G1152" t="s">
        <v>71</v>
      </c>
      <c r="H1152">
        <v>4720</v>
      </c>
    </row>
    <row r="1153" spans="1:8" x14ac:dyDescent="0.3">
      <c r="A1153" t="s">
        <v>34</v>
      </c>
      <c r="B1153" s="2" t="s">
        <v>4</v>
      </c>
      <c r="G1153" t="s">
        <v>71</v>
      </c>
      <c r="H1153">
        <v>651</v>
      </c>
    </row>
    <row r="1154" spans="1:8" x14ac:dyDescent="0.3">
      <c r="A1154" t="s">
        <v>34</v>
      </c>
      <c r="B1154" s="2" t="s">
        <v>2</v>
      </c>
      <c r="G1154" t="s">
        <v>72</v>
      </c>
      <c r="H1154">
        <v>1428</v>
      </c>
    </row>
    <row r="1155" spans="1:8" x14ac:dyDescent="0.3">
      <c r="A1155" t="s">
        <v>34</v>
      </c>
      <c r="B1155" s="2" t="s">
        <v>4</v>
      </c>
      <c r="G1155" t="s">
        <v>72</v>
      </c>
      <c r="H1155">
        <v>394</v>
      </c>
    </row>
    <row r="1156" spans="1:8" x14ac:dyDescent="0.3">
      <c r="A1156" t="s">
        <v>35</v>
      </c>
      <c r="B1156" s="2" t="s">
        <v>2</v>
      </c>
      <c r="C1156" s="4" t="s">
        <v>13</v>
      </c>
      <c r="H1156" s="3">
        <v>1183</v>
      </c>
    </row>
    <row r="1157" spans="1:8" x14ac:dyDescent="0.3">
      <c r="A1157" t="s">
        <v>35</v>
      </c>
      <c r="B1157" s="2" t="s">
        <v>4</v>
      </c>
      <c r="C1157" s="4" t="s">
        <v>13</v>
      </c>
      <c r="H1157" s="3">
        <v>461</v>
      </c>
    </row>
    <row r="1158" spans="1:8" x14ac:dyDescent="0.3">
      <c r="A1158" t="s">
        <v>35</v>
      </c>
      <c r="B1158" s="2" t="s">
        <v>2</v>
      </c>
      <c r="C1158" s="4" t="s">
        <v>104</v>
      </c>
      <c r="H1158" s="3">
        <f>139+55</f>
        <v>194</v>
      </c>
    </row>
    <row r="1159" spans="1:8" x14ac:dyDescent="0.3">
      <c r="A1159" t="s">
        <v>35</v>
      </c>
      <c r="B1159" s="2" t="s">
        <v>4</v>
      </c>
      <c r="C1159" s="4" t="s">
        <v>104</v>
      </c>
      <c r="H1159" s="3">
        <v>144</v>
      </c>
    </row>
    <row r="1160" spans="1:8" x14ac:dyDescent="0.3">
      <c r="A1160" t="s">
        <v>35</v>
      </c>
      <c r="B1160" s="2" t="s">
        <v>2</v>
      </c>
      <c r="C1160" s="4" t="s">
        <v>7</v>
      </c>
      <c r="H1160" s="3">
        <v>11988</v>
      </c>
    </row>
    <row r="1161" spans="1:8" x14ac:dyDescent="0.3">
      <c r="A1161" t="s">
        <v>35</v>
      </c>
      <c r="B1161" s="2" t="s">
        <v>4</v>
      </c>
      <c r="C1161" s="4" t="s">
        <v>7</v>
      </c>
      <c r="H1161" s="3">
        <v>2794</v>
      </c>
    </row>
    <row r="1162" spans="1:8" x14ac:dyDescent="0.3">
      <c r="A1162" t="s">
        <v>35</v>
      </c>
      <c r="B1162" s="2" t="s">
        <v>56</v>
      </c>
      <c r="C1162" s="4" t="s">
        <v>7</v>
      </c>
      <c r="H1162" s="3">
        <v>2</v>
      </c>
    </row>
    <row r="1163" spans="1:8" x14ac:dyDescent="0.3">
      <c r="A1163" t="s">
        <v>35</v>
      </c>
      <c r="B1163" s="2" t="s">
        <v>2</v>
      </c>
      <c r="C1163" s="4" t="s">
        <v>103</v>
      </c>
      <c r="H1163" s="3">
        <f>4036+94</f>
        <v>4130</v>
      </c>
    </row>
    <row r="1164" spans="1:8" x14ac:dyDescent="0.3">
      <c r="A1164" t="s">
        <v>35</v>
      </c>
      <c r="B1164" s="2" t="s">
        <v>4</v>
      </c>
      <c r="C1164" s="4" t="s">
        <v>103</v>
      </c>
      <c r="H1164" s="3">
        <v>1029</v>
      </c>
    </row>
    <row r="1165" spans="1:8" x14ac:dyDescent="0.3">
      <c r="A1165" t="s">
        <v>35</v>
      </c>
      <c r="B1165" s="2" t="s">
        <v>2</v>
      </c>
      <c r="C1165" s="4" t="s">
        <v>79</v>
      </c>
      <c r="H1165" s="3">
        <v>185</v>
      </c>
    </row>
    <row r="1166" spans="1:8" x14ac:dyDescent="0.3">
      <c r="A1166" t="s">
        <v>35</v>
      </c>
      <c r="B1166" s="2" t="s">
        <v>4</v>
      </c>
      <c r="C1166" s="4" t="s">
        <v>79</v>
      </c>
      <c r="H1166" s="3">
        <v>74</v>
      </c>
    </row>
    <row r="1167" spans="1:8" x14ac:dyDescent="0.3">
      <c r="A1167" t="s">
        <v>35</v>
      </c>
      <c r="B1167" s="2" t="s">
        <v>2</v>
      </c>
      <c r="C1167" s="4" t="s">
        <v>105</v>
      </c>
      <c r="H1167" s="3">
        <v>370</v>
      </c>
    </row>
    <row r="1168" spans="1:8" x14ac:dyDescent="0.3">
      <c r="A1168" t="s">
        <v>35</v>
      </c>
      <c r="B1168" s="2" t="s">
        <v>4</v>
      </c>
      <c r="C1168" s="4" t="s">
        <v>105</v>
      </c>
      <c r="H1168" s="3">
        <v>48</v>
      </c>
    </row>
    <row r="1169" spans="1:8" x14ac:dyDescent="0.3">
      <c r="A1169" t="s">
        <v>35</v>
      </c>
      <c r="B1169" s="2" t="s">
        <v>2</v>
      </c>
      <c r="C1169" s="4" t="s">
        <v>58</v>
      </c>
      <c r="H1169" s="3">
        <v>5</v>
      </c>
    </row>
    <row r="1170" spans="1:8" x14ac:dyDescent="0.3">
      <c r="A1170" t="s">
        <v>35</v>
      </c>
      <c r="B1170" s="2" t="s">
        <v>2</v>
      </c>
      <c r="C1170" s="4" t="s">
        <v>59</v>
      </c>
      <c r="H1170" s="3">
        <v>112</v>
      </c>
    </row>
    <row r="1171" spans="1:8" x14ac:dyDescent="0.3">
      <c r="A1171" t="s">
        <v>35</v>
      </c>
      <c r="B1171" s="2" t="s">
        <v>4</v>
      </c>
      <c r="C1171" s="4" t="s">
        <v>59</v>
      </c>
      <c r="H1171" s="3">
        <v>27</v>
      </c>
    </row>
    <row r="1172" spans="1:8" x14ac:dyDescent="0.3">
      <c r="A1172" t="s">
        <v>35</v>
      </c>
      <c r="B1172" s="2" t="s">
        <v>2</v>
      </c>
      <c r="D1172" t="s">
        <v>81</v>
      </c>
      <c r="H1172">
        <v>657</v>
      </c>
    </row>
    <row r="1173" spans="1:8" x14ac:dyDescent="0.3">
      <c r="A1173" t="s">
        <v>35</v>
      </c>
      <c r="B1173" s="2" t="s">
        <v>4</v>
      </c>
      <c r="D1173" t="s">
        <v>81</v>
      </c>
      <c r="H1173">
        <v>232</v>
      </c>
    </row>
    <row r="1174" spans="1:8" x14ac:dyDescent="0.3">
      <c r="A1174" t="s">
        <v>35</v>
      </c>
      <c r="B1174" s="2" t="s">
        <v>2</v>
      </c>
      <c r="D1174" t="s">
        <v>73</v>
      </c>
      <c r="H1174">
        <v>19</v>
      </c>
    </row>
    <row r="1175" spans="1:8" x14ac:dyDescent="0.3">
      <c r="A1175" t="s">
        <v>35</v>
      </c>
      <c r="B1175" s="2" t="s">
        <v>4</v>
      </c>
      <c r="D1175" t="s">
        <v>73</v>
      </c>
      <c r="H1175">
        <v>79</v>
      </c>
    </row>
    <row r="1176" spans="1:8" x14ac:dyDescent="0.3">
      <c r="A1176" t="s">
        <v>35</v>
      </c>
      <c r="B1176" s="2" t="s">
        <v>2</v>
      </c>
      <c r="D1176" t="s">
        <v>74</v>
      </c>
      <c r="H1176">
        <v>84</v>
      </c>
    </row>
    <row r="1177" spans="1:8" x14ac:dyDescent="0.3">
      <c r="A1177" t="s">
        <v>35</v>
      </c>
      <c r="B1177" s="2" t="s">
        <v>4</v>
      </c>
      <c r="D1177" t="s">
        <v>74</v>
      </c>
      <c r="H1177">
        <v>46</v>
      </c>
    </row>
    <row r="1178" spans="1:8" x14ac:dyDescent="0.3">
      <c r="A1178" t="s">
        <v>35</v>
      </c>
      <c r="B1178" s="2" t="s">
        <v>2</v>
      </c>
      <c r="D1178" t="s">
        <v>3</v>
      </c>
      <c r="H1178">
        <v>88</v>
      </c>
    </row>
    <row r="1179" spans="1:8" x14ac:dyDescent="0.3">
      <c r="A1179" t="s">
        <v>35</v>
      </c>
      <c r="B1179" s="2" t="s">
        <v>4</v>
      </c>
      <c r="D1179" t="s">
        <v>3</v>
      </c>
      <c r="H1179">
        <v>41</v>
      </c>
    </row>
    <row r="1180" spans="1:8" x14ac:dyDescent="0.3">
      <c r="A1180" t="s">
        <v>35</v>
      </c>
      <c r="B1180" s="2" t="s">
        <v>2</v>
      </c>
      <c r="D1180" t="s">
        <v>9</v>
      </c>
      <c r="H1180">
        <v>229</v>
      </c>
    </row>
    <row r="1181" spans="1:8" x14ac:dyDescent="0.3">
      <c r="A1181" t="s">
        <v>35</v>
      </c>
      <c r="B1181" s="2" t="s">
        <v>4</v>
      </c>
      <c r="D1181" t="s">
        <v>9</v>
      </c>
      <c r="H1181">
        <v>149</v>
      </c>
    </row>
    <row r="1182" spans="1:8" x14ac:dyDescent="0.3">
      <c r="A1182" t="s">
        <v>35</v>
      </c>
      <c r="B1182" s="2" t="s">
        <v>2</v>
      </c>
      <c r="D1182" t="s">
        <v>75</v>
      </c>
      <c r="H1182">
        <v>14</v>
      </c>
    </row>
    <row r="1183" spans="1:8" x14ac:dyDescent="0.3">
      <c r="A1183" t="s">
        <v>35</v>
      </c>
      <c r="B1183" s="2" t="s">
        <v>4</v>
      </c>
      <c r="D1183" t="s">
        <v>75</v>
      </c>
      <c r="H1183">
        <v>20</v>
      </c>
    </row>
    <row r="1184" spans="1:8" x14ac:dyDescent="0.3">
      <c r="A1184" t="s">
        <v>35</v>
      </c>
      <c r="B1184" s="2" t="s">
        <v>2</v>
      </c>
      <c r="D1184" t="s">
        <v>11</v>
      </c>
      <c r="H1184">
        <v>5072</v>
      </c>
    </row>
    <row r="1185" spans="1:8" x14ac:dyDescent="0.3">
      <c r="A1185" t="s">
        <v>35</v>
      </c>
      <c r="B1185" s="2" t="s">
        <v>4</v>
      </c>
      <c r="D1185" t="s">
        <v>11</v>
      </c>
      <c r="H1185">
        <v>1888</v>
      </c>
    </row>
    <row r="1186" spans="1:8" x14ac:dyDescent="0.3">
      <c r="A1186" t="s">
        <v>35</v>
      </c>
      <c r="B1186" s="2" t="s">
        <v>56</v>
      </c>
      <c r="D1186" t="s">
        <v>11</v>
      </c>
      <c r="H1186">
        <v>1</v>
      </c>
    </row>
    <row r="1187" spans="1:8" x14ac:dyDescent="0.3">
      <c r="A1187" t="s">
        <v>35</v>
      </c>
      <c r="B1187" s="2" t="s">
        <v>2</v>
      </c>
      <c r="D1187" t="s">
        <v>80</v>
      </c>
      <c r="H1187">
        <v>2866</v>
      </c>
    </row>
    <row r="1188" spans="1:8" x14ac:dyDescent="0.3">
      <c r="A1188" t="s">
        <v>35</v>
      </c>
      <c r="B1188" s="2" t="s">
        <v>4</v>
      </c>
      <c r="D1188" t="s">
        <v>80</v>
      </c>
      <c r="H1188">
        <v>969</v>
      </c>
    </row>
    <row r="1189" spans="1:8" x14ac:dyDescent="0.3">
      <c r="A1189" t="s">
        <v>35</v>
      </c>
      <c r="B1189" s="2" t="s">
        <v>2</v>
      </c>
      <c r="D1189" t="s">
        <v>8</v>
      </c>
      <c r="H1189">
        <v>148</v>
      </c>
    </row>
    <row r="1190" spans="1:8" x14ac:dyDescent="0.3">
      <c r="A1190" t="s">
        <v>35</v>
      </c>
      <c r="B1190" s="2" t="s">
        <v>4</v>
      </c>
      <c r="D1190" t="s">
        <v>8</v>
      </c>
      <c r="H1190">
        <v>84</v>
      </c>
    </row>
    <row r="1191" spans="1:8" x14ac:dyDescent="0.3">
      <c r="A1191" t="s">
        <v>35</v>
      </c>
      <c r="B1191" s="2" t="s">
        <v>2</v>
      </c>
      <c r="D1191" t="s">
        <v>76</v>
      </c>
      <c r="H1191">
        <v>3048</v>
      </c>
    </row>
    <row r="1192" spans="1:8" x14ac:dyDescent="0.3">
      <c r="A1192" t="s">
        <v>35</v>
      </c>
      <c r="B1192" s="2" t="s">
        <v>4</v>
      </c>
      <c r="D1192" t="s">
        <v>76</v>
      </c>
      <c r="H1192">
        <v>25</v>
      </c>
    </row>
    <row r="1193" spans="1:8" x14ac:dyDescent="0.3">
      <c r="A1193" t="s">
        <v>35</v>
      </c>
      <c r="B1193" s="2" t="s">
        <v>2</v>
      </c>
      <c r="D1193" t="s">
        <v>10</v>
      </c>
      <c r="H1193">
        <v>84</v>
      </c>
    </row>
    <row r="1194" spans="1:8" x14ac:dyDescent="0.3">
      <c r="A1194" t="s">
        <v>35</v>
      </c>
      <c r="B1194" s="2" t="s">
        <v>4</v>
      </c>
      <c r="D1194" t="s">
        <v>10</v>
      </c>
      <c r="H1194">
        <v>12</v>
      </c>
    </row>
    <row r="1195" spans="1:8" x14ac:dyDescent="0.3">
      <c r="A1195" t="s">
        <v>35</v>
      </c>
      <c r="B1195" s="2" t="s">
        <v>2</v>
      </c>
      <c r="D1195" t="s">
        <v>5</v>
      </c>
      <c r="H1195">
        <v>61</v>
      </c>
    </row>
    <row r="1196" spans="1:8" x14ac:dyDescent="0.3">
      <c r="A1196" t="s">
        <v>35</v>
      </c>
      <c r="B1196" s="2" t="s">
        <v>4</v>
      </c>
      <c r="D1196" t="s">
        <v>5</v>
      </c>
      <c r="H1196">
        <v>23</v>
      </c>
    </row>
    <row r="1197" spans="1:8" x14ac:dyDescent="0.3">
      <c r="A1197" t="s">
        <v>35</v>
      </c>
      <c r="B1197" s="2" t="s">
        <v>2</v>
      </c>
      <c r="D1197" t="s">
        <v>14</v>
      </c>
      <c r="H1197">
        <v>426</v>
      </c>
    </row>
    <row r="1198" spans="1:8" x14ac:dyDescent="0.3">
      <c r="A1198" t="s">
        <v>35</v>
      </c>
      <c r="B1198" s="2" t="s">
        <v>4</v>
      </c>
      <c r="D1198" t="s">
        <v>14</v>
      </c>
      <c r="H1198">
        <v>251</v>
      </c>
    </row>
    <row r="1199" spans="1:8" x14ac:dyDescent="0.3">
      <c r="A1199" t="s">
        <v>35</v>
      </c>
      <c r="B1199" s="2" t="s">
        <v>2</v>
      </c>
      <c r="D1199" t="s">
        <v>15</v>
      </c>
      <c r="H1199">
        <v>369</v>
      </c>
    </row>
    <row r="1200" spans="1:8" x14ac:dyDescent="0.3">
      <c r="A1200" t="s">
        <v>35</v>
      </c>
      <c r="B1200" s="2" t="s">
        <v>4</v>
      </c>
      <c r="D1200" t="s">
        <v>15</v>
      </c>
      <c r="H1200">
        <v>33</v>
      </c>
    </row>
    <row r="1201" spans="1:8" x14ac:dyDescent="0.3">
      <c r="A1201" t="s">
        <v>35</v>
      </c>
      <c r="B1201" s="2" t="s">
        <v>2</v>
      </c>
      <c r="D1201" t="s">
        <v>17</v>
      </c>
      <c r="H1201">
        <v>588</v>
      </c>
    </row>
    <row r="1202" spans="1:8" x14ac:dyDescent="0.3">
      <c r="A1202" t="s">
        <v>35</v>
      </c>
      <c r="B1202" s="2" t="s">
        <v>4</v>
      </c>
      <c r="D1202" t="s">
        <v>17</v>
      </c>
      <c r="H1202">
        <v>54</v>
      </c>
    </row>
    <row r="1203" spans="1:8" x14ac:dyDescent="0.3">
      <c r="A1203" t="s">
        <v>35</v>
      </c>
      <c r="B1203" s="2" t="s">
        <v>2</v>
      </c>
      <c r="D1203" t="s">
        <v>6</v>
      </c>
      <c r="H1203">
        <v>227</v>
      </c>
    </row>
    <row r="1204" spans="1:8" x14ac:dyDescent="0.3">
      <c r="A1204" t="s">
        <v>35</v>
      </c>
      <c r="B1204" s="2" t="s">
        <v>4</v>
      </c>
      <c r="D1204" t="s">
        <v>6</v>
      </c>
      <c r="H1204">
        <v>19</v>
      </c>
    </row>
    <row r="1205" spans="1:8" x14ac:dyDescent="0.3">
      <c r="A1205" t="s">
        <v>35</v>
      </c>
      <c r="B1205" s="2" t="s">
        <v>4</v>
      </c>
      <c r="D1205" t="s">
        <v>12</v>
      </c>
      <c r="H1205">
        <v>3</v>
      </c>
    </row>
    <row r="1206" spans="1:8" x14ac:dyDescent="0.3">
      <c r="A1206" t="s">
        <v>35</v>
      </c>
      <c r="B1206" s="2" t="s">
        <v>2</v>
      </c>
      <c r="D1206" t="s">
        <v>77</v>
      </c>
      <c r="H1206">
        <v>1</v>
      </c>
    </row>
    <row r="1207" spans="1:8" x14ac:dyDescent="0.3">
      <c r="A1207" t="s">
        <v>35</v>
      </c>
      <c r="B1207" s="2" t="s">
        <v>2</v>
      </c>
      <c r="D1207" t="s">
        <v>16</v>
      </c>
      <c r="H1207">
        <f>588+1858</f>
        <v>2446</v>
      </c>
    </row>
    <row r="1208" spans="1:8" x14ac:dyDescent="0.3">
      <c r="A1208" t="s">
        <v>35</v>
      </c>
      <c r="B1208" s="2" t="s">
        <v>4</v>
      </c>
      <c r="D1208" t="s">
        <v>16</v>
      </c>
      <c r="H1208">
        <v>135</v>
      </c>
    </row>
    <row r="1209" spans="1:8" x14ac:dyDescent="0.3">
      <c r="A1209" t="s">
        <v>35</v>
      </c>
      <c r="B1209" s="2" t="s">
        <v>2</v>
      </c>
      <c r="D1209" t="s">
        <v>78</v>
      </c>
      <c r="H1209">
        <f>820+920</f>
        <v>1740</v>
      </c>
    </row>
    <row r="1210" spans="1:8" x14ac:dyDescent="0.3">
      <c r="A1210" t="s">
        <v>35</v>
      </c>
      <c r="B1210" s="2" t="s">
        <v>4</v>
      </c>
      <c r="D1210" t="s">
        <v>78</v>
      </c>
      <c r="H1210">
        <f>223+291</f>
        <v>514</v>
      </c>
    </row>
    <row r="1211" spans="1:8" x14ac:dyDescent="0.3">
      <c r="A1211" t="s">
        <v>35</v>
      </c>
      <c r="B1211" s="2" t="s">
        <v>56</v>
      </c>
      <c r="D1211" t="s">
        <v>78</v>
      </c>
      <c r="H1211">
        <v>1</v>
      </c>
    </row>
    <row r="1212" spans="1:8" x14ac:dyDescent="0.3">
      <c r="A1212" t="s">
        <v>35</v>
      </c>
      <c r="B1212" s="2" t="s">
        <v>2</v>
      </c>
      <c r="E1212" t="s">
        <v>21</v>
      </c>
      <c r="H1212">
        <v>1158</v>
      </c>
    </row>
    <row r="1213" spans="1:8" x14ac:dyDescent="0.3">
      <c r="A1213" t="s">
        <v>35</v>
      </c>
      <c r="B1213" s="2" t="s">
        <v>4</v>
      </c>
      <c r="E1213" t="s">
        <v>21</v>
      </c>
      <c r="H1213">
        <v>375</v>
      </c>
    </row>
    <row r="1214" spans="1:8" x14ac:dyDescent="0.3">
      <c r="A1214" t="s">
        <v>35</v>
      </c>
      <c r="B1214" s="2" t="s">
        <v>2</v>
      </c>
      <c r="E1214" t="s">
        <v>91</v>
      </c>
      <c r="H1214">
        <f>3104+2182</f>
        <v>5286</v>
      </c>
    </row>
    <row r="1215" spans="1:8" x14ac:dyDescent="0.3">
      <c r="A1215" t="s">
        <v>35</v>
      </c>
      <c r="B1215" s="2" t="s">
        <v>4</v>
      </c>
      <c r="E1215" t="s">
        <v>91</v>
      </c>
      <c r="H1215">
        <f>874+547</f>
        <v>1421</v>
      </c>
    </row>
    <row r="1216" spans="1:8" x14ac:dyDescent="0.3">
      <c r="A1216" t="s">
        <v>35</v>
      </c>
      <c r="B1216" s="2" t="s">
        <v>56</v>
      </c>
      <c r="E1216" t="s">
        <v>91</v>
      </c>
      <c r="H1216">
        <v>1</v>
      </c>
    </row>
    <row r="1217" spans="1:8" x14ac:dyDescent="0.3">
      <c r="A1217" t="s">
        <v>35</v>
      </c>
      <c r="B1217" s="2" t="s">
        <v>2</v>
      </c>
      <c r="E1217" t="s">
        <v>90</v>
      </c>
      <c r="H1217">
        <v>6005</v>
      </c>
    </row>
    <row r="1218" spans="1:8" x14ac:dyDescent="0.3">
      <c r="A1218" t="s">
        <v>35</v>
      </c>
      <c r="B1218" s="2" t="s">
        <v>4</v>
      </c>
      <c r="E1218" t="s">
        <v>90</v>
      </c>
      <c r="H1218">
        <v>1335</v>
      </c>
    </row>
    <row r="1219" spans="1:8" x14ac:dyDescent="0.3">
      <c r="A1219" t="s">
        <v>35</v>
      </c>
      <c r="B1219" s="2" t="s">
        <v>2</v>
      </c>
      <c r="E1219" t="s">
        <v>89</v>
      </c>
      <c r="H1219">
        <v>4231</v>
      </c>
    </row>
    <row r="1220" spans="1:8" x14ac:dyDescent="0.3">
      <c r="A1220" t="s">
        <v>35</v>
      </c>
      <c r="B1220" s="2" t="s">
        <v>4</v>
      </c>
      <c r="E1220" t="s">
        <v>89</v>
      </c>
      <c r="H1220">
        <v>1065</v>
      </c>
    </row>
    <row r="1221" spans="1:8" x14ac:dyDescent="0.3">
      <c r="A1221" t="s">
        <v>35</v>
      </c>
      <c r="B1221" s="2" t="s">
        <v>56</v>
      </c>
      <c r="E1221" t="s">
        <v>89</v>
      </c>
      <c r="H1221">
        <v>1</v>
      </c>
    </row>
    <row r="1222" spans="1:8" x14ac:dyDescent="0.3">
      <c r="A1222" t="s">
        <v>35</v>
      </c>
      <c r="B1222" s="2" t="s">
        <v>2</v>
      </c>
      <c r="E1222" t="s">
        <v>60</v>
      </c>
      <c r="H1222">
        <v>270</v>
      </c>
    </row>
    <row r="1223" spans="1:8" x14ac:dyDescent="0.3">
      <c r="A1223" t="s">
        <v>35</v>
      </c>
      <c r="B1223" s="2" t="s">
        <v>4</v>
      </c>
      <c r="E1223" t="s">
        <v>60</v>
      </c>
      <c r="H1223">
        <v>54</v>
      </c>
    </row>
    <row r="1224" spans="1:8" x14ac:dyDescent="0.3">
      <c r="A1224" t="s">
        <v>35</v>
      </c>
      <c r="B1224" s="2" t="s">
        <v>2</v>
      </c>
      <c r="E1224" t="s">
        <v>61</v>
      </c>
      <c r="H1224">
        <v>827</v>
      </c>
    </row>
    <row r="1225" spans="1:8" x14ac:dyDescent="0.3">
      <c r="A1225" t="s">
        <v>35</v>
      </c>
      <c r="B1225" s="2" t="s">
        <v>4</v>
      </c>
      <c r="E1225" t="s">
        <v>61</v>
      </c>
      <c r="H1225">
        <v>206</v>
      </c>
    </row>
    <row r="1226" spans="1:8" x14ac:dyDescent="0.3">
      <c r="A1226" t="s">
        <v>35</v>
      </c>
      <c r="B1226" s="2" t="s">
        <v>2</v>
      </c>
      <c r="E1226" t="s">
        <v>92</v>
      </c>
      <c r="H1226">
        <v>50</v>
      </c>
    </row>
    <row r="1227" spans="1:8" x14ac:dyDescent="0.3">
      <c r="A1227" t="s">
        <v>35</v>
      </c>
      <c r="B1227" s="2" t="s">
        <v>4</v>
      </c>
      <c r="E1227" t="s">
        <v>92</v>
      </c>
      <c r="H1227">
        <v>17</v>
      </c>
    </row>
    <row r="1228" spans="1:8" x14ac:dyDescent="0.3">
      <c r="A1228" t="s">
        <v>35</v>
      </c>
      <c r="B1228" s="2" t="s">
        <v>2</v>
      </c>
      <c r="E1228" t="s">
        <v>62</v>
      </c>
      <c r="H1228">
        <v>340</v>
      </c>
    </row>
    <row r="1229" spans="1:8" x14ac:dyDescent="0.3">
      <c r="A1229" t="s">
        <v>35</v>
      </c>
      <c r="B1229" s="2" t="s">
        <v>4</v>
      </c>
      <c r="E1229" t="s">
        <v>62</v>
      </c>
      <c r="H1229">
        <v>104</v>
      </c>
    </row>
    <row r="1230" spans="1:8" x14ac:dyDescent="0.3">
      <c r="A1230" t="s">
        <v>35</v>
      </c>
      <c r="B1230" s="2" t="s">
        <v>2</v>
      </c>
      <c r="F1230" t="s">
        <v>64</v>
      </c>
      <c r="H1230">
        <v>4016</v>
      </c>
    </row>
    <row r="1231" spans="1:8" x14ac:dyDescent="0.3">
      <c r="A1231" t="s">
        <v>35</v>
      </c>
      <c r="B1231" s="2" t="s">
        <v>4</v>
      </c>
      <c r="F1231" t="s">
        <v>64</v>
      </c>
      <c r="H1231">
        <v>1314</v>
      </c>
    </row>
    <row r="1232" spans="1:8" x14ac:dyDescent="0.3">
      <c r="A1232" t="s">
        <v>35</v>
      </c>
      <c r="B1232" s="2" t="s">
        <v>56</v>
      </c>
      <c r="F1232" t="s">
        <v>64</v>
      </c>
      <c r="H1232">
        <v>1</v>
      </c>
    </row>
    <row r="1233" spans="1:8" x14ac:dyDescent="0.3">
      <c r="A1233" t="s">
        <v>35</v>
      </c>
      <c r="B1233" s="2" t="s">
        <v>2</v>
      </c>
      <c r="F1233" t="s">
        <v>18</v>
      </c>
      <c r="H1233">
        <v>13461</v>
      </c>
    </row>
    <row r="1234" spans="1:8" x14ac:dyDescent="0.3">
      <c r="A1234" t="s">
        <v>35</v>
      </c>
      <c r="B1234" s="2" t="s">
        <v>4</v>
      </c>
      <c r="F1234" t="s">
        <v>18</v>
      </c>
      <c r="H1234">
        <v>3056</v>
      </c>
    </row>
    <row r="1235" spans="1:8" x14ac:dyDescent="0.3">
      <c r="A1235" t="s">
        <v>35</v>
      </c>
      <c r="B1235" s="2" t="s">
        <v>2</v>
      </c>
      <c r="F1235" t="s">
        <v>19</v>
      </c>
      <c r="H1235">
        <v>236</v>
      </c>
    </row>
    <row r="1236" spans="1:8" x14ac:dyDescent="0.3">
      <c r="A1236" t="s">
        <v>35</v>
      </c>
      <c r="B1236" s="2" t="s">
        <v>4</v>
      </c>
      <c r="F1236" t="s">
        <v>19</v>
      </c>
      <c r="H1236">
        <v>109</v>
      </c>
    </row>
    <row r="1237" spans="1:8" x14ac:dyDescent="0.3">
      <c r="A1237" t="s">
        <v>35</v>
      </c>
      <c r="B1237" s="2" t="s">
        <v>2</v>
      </c>
      <c r="F1237" t="s">
        <v>20</v>
      </c>
      <c r="H1237">
        <v>114</v>
      </c>
    </row>
    <row r="1238" spans="1:8" x14ac:dyDescent="0.3">
      <c r="A1238" t="s">
        <v>35</v>
      </c>
      <c r="B1238" s="2" t="s">
        <v>4</v>
      </c>
      <c r="F1238" t="s">
        <v>20</v>
      </c>
      <c r="H1238">
        <v>41</v>
      </c>
    </row>
    <row r="1239" spans="1:8" x14ac:dyDescent="0.3">
      <c r="A1239" t="s">
        <v>35</v>
      </c>
      <c r="B1239" s="2" t="s">
        <v>2</v>
      </c>
      <c r="F1239" t="s">
        <v>65</v>
      </c>
      <c r="H1239">
        <v>43</v>
      </c>
    </row>
    <row r="1240" spans="1:8" x14ac:dyDescent="0.3">
      <c r="A1240" t="s">
        <v>35</v>
      </c>
      <c r="B1240" s="2" t="s">
        <v>4</v>
      </c>
      <c r="F1240" t="s">
        <v>65</v>
      </c>
      <c r="H1240">
        <v>14</v>
      </c>
    </row>
    <row r="1241" spans="1:8" x14ac:dyDescent="0.3">
      <c r="A1241" t="s">
        <v>35</v>
      </c>
      <c r="B1241" s="2" t="s">
        <v>56</v>
      </c>
      <c r="F1241" t="s">
        <v>65</v>
      </c>
      <c r="H1241">
        <v>1</v>
      </c>
    </row>
    <row r="1242" spans="1:8" x14ac:dyDescent="0.3">
      <c r="A1242" t="s">
        <v>35</v>
      </c>
      <c r="B1242" s="2" t="s">
        <v>2</v>
      </c>
      <c r="F1242" t="s">
        <v>66</v>
      </c>
      <c r="H1242">
        <v>297</v>
      </c>
    </row>
    <row r="1243" spans="1:8" x14ac:dyDescent="0.3">
      <c r="A1243" t="s">
        <v>35</v>
      </c>
      <c r="B1243" s="2" t="s">
        <v>4</v>
      </c>
      <c r="F1243" t="s">
        <v>66</v>
      </c>
      <c r="H1243">
        <v>43</v>
      </c>
    </row>
    <row r="1244" spans="1:8" x14ac:dyDescent="0.3">
      <c r="A1244" t="s">
        <v>35</v>
      </c>
      <c r="B1244" s="2" t="s">
        <v>4</v>
      </c>
      <c r="G1244" t="s">
        <v>68</v>
      </c>
      <c r="H1244">
        <v>2698</v>
      </c>
    </row>
    <row r="1245" spans="1:8" x14ac:dyDescent="0.3">
      <c r="A1245" t="s">
        <v>35</v>
      </c>
      <c r="B1245" s="2" t="s">
        <v>2</v>
      </c>
      <c r="G1245" t="s">
        <v>82</v>
      </c>
      <c r="H1245">
        <v>259</v>
      </c>
    </row>
    <row r="1246" spans="1:8" x14ac:dyDescent="0.3">
      <c r="A1246" t="s">
        <v>35</v>
      </c>
      <c r="B1246" s="2" t="s">
        <v>4</v>
      </c>
      <c r="G1246" t="s">
        <v>82</v>
      </c>
      <c r="H1246">
        <v>27</v>
      </c>
    </row>
    <row r="1247" spans="1:8" x14ac:dyDescent="0.3">
      <c r="A1247" t="s">
        <v>35</v>
      </c>
      <c r="B1247" s="2" t="s">
        <v>2</v>
      </c>
      <c r="G1247" t="s">
        <v>83</v>
      </c>
      <c r="H1247">
        <v>2352</v>
      </c>
    </row>
    <row r="1248" spans="1:8" x14ac:dyDescent="0.3">
      <c r="A1248" t="s">
        <v>35</v>
      </c>
      <c r="B1248" s="2" t="s">
        <v>4</v>
      </c>
      <c r="G1248" t="s">
        <v>83</v>
      </c>
      <c r="H1248">
        <v>220</v>
      </c>
    </row>
    <row r="1249" spans="1:8" x14ac:dyDescent="0.3">
      <c r="A1249" t="s">
        <v>35</v>
      </c>
      <c r="B1249" s="2" t="s">
        <v>2</v>
      </c>
      <c r="G1249" t="s">
        <v>69</v>
      </c>
      <c r="H1249">
        <v>1017</v>
      </c>
    </row>
    <row r="1250" spans="1:8" x14ac:dyDescent="0.3">
      <c r="A1250" t="s">
        <v>35</v>
      </c>
      <c r="B1250" s="2" t="s">
        <v>4</v>
      </c>
      <c r="G1250" t="s">
        <v>69</v>
      </c>
      <c r="H1250">
        <v>747</v>
      </c>
    </row>
    <row r="1251" spans="1:8" x14ac:dyDescent="0.3">
      <c r="A1251" t="s">
        <v>35</v>
      </c>
      <c r="B1251" s="2" t="s">
        <v>2</v>
      </c>
      <c r="G1251" t="s">
        <v>70</v>
      </c>
      <c r="H1251">
        <v>1551</v>
      </c>
    </row>
    <row r="1252" spans="1:8" x14ac:dyDescent="0.3">
      <c r="A1252" t="s">
        <v>35</v>
      </c>
      <c r="B1252" s="2" t="s">
        <v>4</v>
      </c>
      <c r="G1252" t="s">
        <v>70</v>
      </c>
      <c r="H1252">
        <v>141</v>
      </c>
    </row>
    <row r="1253" spans="1:8" x14ac:dyDescent="0.3">
      <c r="A1253" t="s">
        <v>35</v>
      </c>
      <c r="B1253" s="2" t="s">
        <v>56</v>
      </c>
      <c r="G1253" t="s">
        <v>70</v>
      </c>
      <c r="H1253">
        <v>2</v>
      </c>
    </row>
    <row r="1254" spans="1:8" x14ac:dyDescent="0.3">
      <c r="A1254" t="s">
        <v>35</v>
      </c>
      <c r="B1254" s="2" t="s">
        <v>2</v>
      </c>
      <c r="G1254" t="s">
        <v>84</v>
      </c>
      <c r="H1254">
        <v>1927</v>
      </c>
    </row>
    <row r="1255" spans="1:8" x14ac:dyDescent="0.3">
      <c r="A1255" t="s">
        <v>35</v>
      </c>
      <c r="B1255" s="2" t="s">
        <v>4</v>
      </c>
      <c r="G1255" t="s">
        <v>84</v>
      </c>
      <c r="H1255">
        <v>68</v>
      </c>
    </row>
    <row r="1256" spans="1:8" x14ac:dyDescent="0.3">
      <c r="A1256" t="s">
        <v>35</v>
      </c>
      <c r="B1256" s="2" t="s">
        <v>2</v>
      </c>
      <c r="G1256" t="s">
        <v>85</v>
      </c>
      <c r="H1256">
        <v>4009</v>
      </c>
    </row>
    <row r="1257" spans="1:8" x14ac:dyDescent="0.3">
      <c r="A1257" t="s">
        <v>35</v>
      </c>
      <c r="B1257" s="2" t="s">
        <v>4</v>
      </c>
      <c r="G1257" t="s">
        <v>85</v>
      </c>
      <c r="H1257">
        <v>239</v>
      </c>
    </row>
    <row r="1258" spans="1:8" x14ac:dyDescent="0.3">
      <c r="A1258" t="s">
        <v>35</v>
      </c>
      <c r="B1258" s="2" t="s">
        <v>2</v>
      </c>
      <c r="G1258" t="s">
        <v>71</v>
      </c>
      <c r="H1258">
        <v>5971</v>
      </c>
    </row>
    <row r="1259" spans="1:8" x14ac:dyDescent="0.3">
      <c r="A1259" t="s">
        <v>35</v>
      </c>
      <c r="B1259" s="2" t="s">
        <v>4</v>
      </c>
      <c r="G1259" t="s">
        <v>71</v>
      </c>
      <c r="H1259">
        <v>304</v>
      </c>
    </row>
    <row r="1260" spans="1:8" x14ac:dyDescent="0.3">
      <c r="A1260" t="s">
        <v>35</v>
      </c>
      <c r="B1260" s="2" t="s">
        <v>2</v>
      </c>
      <c r="G1260" t="s">
        <v>72</v>
      </c>
      <c r="H1260">
        <v>1081</v>
      </c>
    </row>
    <row r="1261" spans="1:8" x14ac:dyDescent="0.3">
      <c r="A1261" t="s">
        <v>35</v>
      </c>
      <c r="B1261" s="2" t="s">
        <v>4</v>
      </c>
      <c r="G1261" t="s">
        <v>72</v>
      </c>
      <c r="H1261">
        <v>133</v>
      </c>
    </row>
    <row r="1262" spans="1:8" x14ac:dyDescent="0.3">
      <c r="A1262" t="s">
        <v>36</v>
      </c>
      <c r="B1262" s="2" t="s">
        <v>2</v>
      </c>
      <c r="C1262" s="4" t="s">
        <v>104</v>
      </c>
      <c r="H1262" s="3">
        <v>2</v>
      </c>
    </row>
    <row r="1263" spans="1:8" x14ac:dyDescent="0.3">
      <c r="A1263" t="s">
        <v>36</v>
      </c>
      <c r="B1263" s="2" t="s">
        <v>2</v>
      </c>
      <c r="C1263" s="4" t="s">
        <v>7</v>
      </c>
      <c r="H1263" s="3">
        <v>14</v>
      </c>
    </row>
    <row r="1264" spans="1:8" x14ac:dyDescent="0.3">
      <c r="A1264" t="s">
        <v>36</v>
      </c>
      <c r="B1264" s="2" t="s">
        <v>4</v>
      </c>
      <c r="C1264" s="4" t="s">
        <v>7</v>
      </c>
      <c r="H1264" s="3">
        <v>9</v>
      </c>
    </row>
    <row r="1265" spans="1:8" x14ac:dyDescent="0.3">
      <c r="A1265" t="s">
        <v>36</v>
      </c>
      <c r="B1265" s="2" t="s">
        <v>4</v>
      </c>
      <c r="C1265" s="4" t="s">
        <v>103</v>
      </c>
      <c r="H1265" s="3">
        <v>1</v>
      </c>
    </row>
    <row r="1266" spans="1:8" x14ac:dyDescent="0.3">
      <c r="A1266" t="s">
        <v>36</v>
      </c>
      <c r="B1266" s="2" t="s">
        <v>2</v>
      </c>
      <c r="D1266" t="s">
        <v>11</v>
      </c>
      <c r="H1266">
        <v>6</v>
      </c>
    </row>
    <row r="1267" spans="1:8" x14ac:dyDescent="0.3">
      <c r="A1267" t="s">
        <v>36</v>
      </c>
      <c r="B1267" s="2" t="s">
        <v>4</v>
      </c>
      <c r="D1267" t="s">
        <v>11</v>
      </c>
      <c r="H1267">
        <v>7</v>
      </c>
    </row>
    <row r="1268" spans="1:8" x14ac:dyDescent="0.3">
      <c r="A1268" t="s">
        <v>36</v>
      </c>
      <c r="B1268" s="2" t="s">
        <v>2</v>
      </c>
      <c r="D1268" t="s">
        <v>10</v>
      </c>
      <c r="H1268">
        <v>1</v>
      </c>
    </row>
    <row r="1269" spans="1:8" x14ac:dyDescent="0.3">
      <c r="A1269" t="s">
        <v>36</v>
      </c>
      <c r="B1269" s="2" t="s">
        <v>2</v>
      </c>
      <c r="D1269" t="s">
        <v>16</v>
      </c>
      <c r="H1269">
        <v>5</v>
      </c>
    </row>
    <row r="1270" spans="1:8" x14ac:dyDescent="0.3">
      <c r="A1270" t="s">
        <v>36</v>
      </c>
      <c r="B1270" s="2" t="s">
        <v>2</v>
      </c>
      <c r="D1270" t="s">
        <v>78</v>
      </c>
      <c r="H1270">
        <v>4</v>
      </c>
    </row>
    <row r="1271" spans="1:8" x14ac:dyDescent="0.3">
      <c r="A1271" t="s">
        <v>36</v>
      </c>
      <c r="B1271" s="2" t="s">
        <v>4</v>
      </c>
      <c r="D1271" t="s">
        <v>78</v>
      </c>
      <c r="H1271">
        <v>3</v>
      </c>
    </row>
    <row r="1272" spans="1:8" x14ac:dyDescent="0.3">
      <c r="A1272" t="s">
        <v>36</v>
      </c>
      <c r="B1272" s="2" t="s">
        <v>2</v>
      </c>
      <c r="E1272" t="s">
        <v>91</v>
      </c>
      <c r="H1272">
        <v>2</v>
      </c>
    </row>
    <row r="1273" spans="1:8" x14ac:dyDescent="0.3">
      <c r="A1273" t="s">
        <v>36</v>
      </c>
      <c r="B1273" s="2" t="s">
        <v>4</v>
      </c>
      <c r="E1273" t="s">
        <v>91</v>
      </c>
      <c r="H1273">
        <v>3</v>
      </c>
    </row>
    <row r="1274" spans="1:8" x14ac:dyDescent="0.3">
      <c r="A1274" t="s">
        <v>36</v>
      </c>
      <c r="B1274" s="2" t="s">
        <v>2</v>
      </c>
      <c r="E1274" t="s">
        <v>90</v>
      </c>
      <c r="H1274">
        <v>5</v>
      </c>
    </row>
    <row r="1275" spans="1:8" x14ac:dyDescent="0.3">
      <c r="A1275" t="s">
        <v>36</v>
      </c>
      <c r="B1275" s="2" t="s">
        <v>4</v>
      </c>
      <c r="E1275" t="s">
        <v>90</v>
      </c>
      <c r="H1275">
        <v>6</v>
      </c>
    </row>
    <row r="1276" spans="1:8" x14ac:dyDescent="0.3">
      <c r="A1276" t="s">
        <v>36</v>
      </c>
      <c r="B1276" s="2" t="s">
        <v>2</v>
      </c>
      <c r="E1276" t="s">
        <v>89</v>
      </c>
      <c r="H1276">
        <v>7</v>
      </c>
    </row>
    <row r="1277" spans="1:8" x14ac:dyDescent="0.3">
      <c r="A1277" t="s">
        <v>36</v>
      </c>
      <c r="B1277" s="2" t="s">
        <v>4</v>
      </c>
      <c r="E1277" t="s">
        <v>89</v>
      </c>
      <c r="H1277">
        <v>1</v>
      </c>
    </row>
    <row r="1278" spans="1:8" x14ac:dyDescent="0.3">
      <c r="A1278" t="s">
        <v>36</v>
      </c>
      <c r="B1278" s="2" t="s">
        <v>2</v>
      </c>
      <c r="E1278" t="s">
        <v>61</v>
      </c>
      <c r="H1278">
        <v>1</v>
      </c>
    </row>
    <row r="1279" spans="1:8" x14ac:dyDescent="0.3">
      <c r="A1279" t="s">
        <v>36</v>
      </c>
      <c r="B1279" s="2" t="s">
        <v>2</v>
      </c>
      <c r="E1279" t="s">
        <v>62</v>
      </c>
      <c r="H1279">
        <v>1</v>
      </c>
    </row>
    <row r="1280" spans="1:8" x14ac:dyDescent="0.3">
      <c r="A1280" t="s">
        <v>36</v>
      </c>
      <c r="B1280" s="2" t="s">
        <v>2</v>
      </c>
      <c r="F1280" t="s">
        <v>64</v>
      </c>
      <c r="H1280">
        <v>8</v>
      </c>
    </row>
    <row r="1281" spans="1:8" x14ac:dyDescent="0.3">
      <c r="A1281" t="s">
        <v>36</v>
      </c>
      <c r="B1281" s="2" t="s">
        <v>4</v>
      </c>
      <c r="F1281" t="s">
        <v>64</v>
      </c>
      <c r="H1281">
        <v>1</v>
      </c>
    </row>
    <row r="1282" spans="1:8" x14ac:dyDescent="0.3">
      <c r="A1282" t="s">
        <v>36</v>
      </c>
      <c r="B1282" s="2" t="s">
        <v>2</v>
      </c>
      <c r="F1282" t="s">
        <v>18</v>
      </c>
      <c r="H1282">
        <v>7</v>
      </c>
    </row>
    <row r="1283" spans="1:8" x14ac:dyDescent="0.3">
      <c r="A1283" t="s">
        <v>36</v>
      </c>
      <c r="B1283" s="2" t="s">
        <v>4</v>
      </c>
      <c r="F1283" t="s">
        <v>18</v>
      </c>
      <c r="H1283">
        <v>9</v>
      </c>
    </row>
    <row r="1284" spans="1:8" x14ac:dyDescent="0.3">
      <c r="A1284" t="s">
        <v>36</v>
      </c>
      <c r="B1284" s="2" t="s">
        <v>2</v>
      </c>
      <c r="F1284" t="s">
        <v>66</v>
      </c>
      <c r="H1284">
        <v>1</v>
      </c>
    </row>
    <row r="1285" spans="1:8" x14ac:dyDescent="0.3">
      <c r="A1285" t="s">
        <v>36</v>
      </c>
      <c r="B1285" s="2" t="s">
        <v>4</v>
      </c>
      <c r="G1285" t="s">
        <v>68</v>
      </c>
      <c r="H1285">
        <v>7</v>
      </c>
    </row>
    <row r="1286" spans="1:8" x14ac:dyDescent="0.3">
      <c r="A1286" t="s">
        <v>36</v>
      </c>
      <c r="B1286" s="2" t="s">
        <v>2</v>
      </c>
      <c r="G1286" t="s">
        <v>82</v>
      </c>
      <c r="H1286">
        <v>4</v>
      </c>
    </row>
    <row r="1287" spans="1:8" x14ac:dyDescent="0.3">
      <c r="A1287" t="s">
        <v>36</v>
      </c>
      <c r="B1287" s="2" t="s">
        <v>4</v>
      </c>
      <c r="G1287" t="s">
        <v>82</v>
      </c>
      <c r="H1287">
        <v>1</v>
      </c>
    </row>
    <row r="1288" spans="1:8" x14ac:dyDescent="0.3">
      <c r="A1288" t="s">
        <v>36</v>
      </c>
      <c r="B1288" s="2" t="s">
        <v>2</v>
      </c>
      <c r="G1288" t="s">
        <v>69</v>
      </c>
      <c r="H1288">
        <v>4</v>
      </c>
    </row>
    <row r="1289" spans="1:8" x14ac:dyDescent="0.3">
      <c r="A1289" t="s">
        <v>36</v>
      </c>
      <c r="B1289" s="2" t="s">
        <v>4</v>
      </c>
      <c r="G1289" t="s">
        <v>69</v>
      </c>
      <c r="H1289">
        <v>1</v>
      </c>
    </row>
    <row r="1290" spans="1:8" x14ac:dyDescent="0.3">
      <c r="A1290" t="s">
        <v>36</v>
      </c>
      <c r="B1290" s="2" t="s">
        <v>2</v>
      </c>
      <c r="G1290" t="s">
        <v>70</v>
      </c>
      <c r="H1290">
        <v>7</v>
      </c>
    </row>
    <row r="1291" spans="1:8" x14ac:dyDescent="0.3">
      <c r="A1291" t="s">
        <v>36</v>
      </c>
      <c r="B1291" s="2" t="s">
        <v>4</v>
      </c>
      <c r="G1291" t="s">
        <v>70</v>
      </c>
      <c r="H1291">
        <v>1</v>
      </c>
    </row>
    <row r="1292" spans="1:8" x14ac:dyDescent="0.3">
      <c r="A1292" t="s">
        <v>36</v>
      </c>
      <c r="B1292" s="2" t="s">
        <v>2</v>
      </c>
      <c r="G1292" t="s">
        <v>84</v>
      </c>
      <c r="H1292">
        <v>1</v>
      </c>
    </row>
    <row r="1293" spans="1:8" x14ac:dyDescent="0.3">
      <c r="A1293" t="s">
        <v>37</v>
      </c>
      <c r="B1293" s="2" t="s">
        <v>2</v>
      </c>
      <c r="C1293" s="4" t="s">
        <v>13</v>
      </c>
      <c r="H1293" s="3">
        <v>9</v>
      </c>
    </row>
    <row r="1294" spans="1:8" x14ac:dyDescent="0.3">
      <c r="A1294" t="s">
        <v>37</v>
      </c>
      <c r="B1294" s="2" t="s">
        <v>4</v>
      </c>
      <c r="C1294" s="4" t="s">
        <v>13</v>
      </c>
      <c r="H1294" s="3">
        <v>1</v>
      </c>
    </row>
    <row r="1295" spans="1:8" x14ac:dyDescent="0.3">
      <c r="A1295" t="s">
        <v>37</v>
      </c>
      <c r="B1295" s="2" t="s">
        <v>2</v>
      </c>
      <c r="C1295" s="4" t="s">
        <v>7</v>
      </c>
      <c r="H1295" s="3">
        <v>149</v>
      </c>
    </row>
    <row r="1296" spans="1:8" x14ac:dyDescent="0.3">
      <c r="A1296" t="s">
        <v>37</v>
      </c>
      <c r="B1296" s="2" t="s">
        <v>4</v>
      </c>
      <c r="C1296" s="4" t="s">
        <v>7</v>
      </c>
      <c r="H1296" s="3">
        <v>44</v>
      </c>
    </row>
    <row r="1297" spans="1:8" x14ac:dyDescent="0.3">
      <c r="A1297" t="s">
        <v>37</v>
      </c>
      <c r="B1297" s="2" t="s">
        <v>2</v>
      </c>
      <c r="C1297" s="4" t="s">
        <v>103</v>
      </c>
      <c r="H1297" s="3">
        <v>2</v>
      </c>
    </row>
    <row r="1298" spans="1:8" x14ac:dyDescent="0.3">
      <c r="A1298" t="s">
        <v>37</v>
      </c>
      <c r="B1298" s="2" t="s">
        <v>4</v>
      </c>
      <c r="C1298" s="4" t="s">
        <v>103</v>
      </c>
      <c r="H1298" s="3">
        <v>2</v>
      </c>
    </row>
    <row r="1299" spans="1:8" x14ac:dyDescent="0.3">
      <c r="A1299" t="s">
        <v>37</v>
      </c>
      <c r="B1299" s="2" t="s">
        <v>2</v>
      </c>
      <c r="C1299" s="4" t="s">
        <v>104</v>
      </c>
      <c r="H1299" s="3">
        <v>2</v>
      </c>
    </row>
    <row r="1300" spans="1:8" x14ac:dyDescent="0.3">
      <c r="A1300" t="s">
        <v>37</v>
      </c>
      <c r="B1300" s="2" t="s">
        <v>4</v>
      </c>
      <c r="C1300" s="4" t="s">
        <v>104</v>
      </c>
      <c r="H1300" s="3">
        <v>1</v>
      </c>
    </row>
    <row r="1301" spans="1:8" x14ac:dyDescent="0.3">
      <c r="A1301" t="s">
        <v>37</v>
      </c>
      <c r="B1301" s="2" t="s">
        <v>2</v>
      </c>
      <c r="C1301" s="4" t="s">
        <v>79</v>
      </c>
      <c r="H1301" s="3">
        <v>1</v>
      </c>
    </row>
    <row r="1302" spans="1:8" x14ac:dyDescent="0.3">
      <c r="A1302" t="s">
        <v>37</v>
      </c>
      <c r="B1302" s="2" t="s">
        <v>4</v>
      </c>
      <c r="C1302" s="4" t="s">
        <v>79</v>
      </c>
      <c r="H1302" s="3">
        <v>1</v>
      </c>
    </row>
    <row r="1303" spans="1:8" x14ac:dyDescent="0.3">
      <c r="A1303" t="s">
        <v>37</v>
      </c>
      <c r="B1303" s="2" t="s">
        <v>2</v>
      </c>
      <c r="C1303" s="4" t="s">
        <v>58</v>
      </c>
      <c r="H1303" s="3">
        <v>1</v>
      </c>
    </row>
    <row r="1304" spans="1:8" x14ac:dyDescent="0.3">
      <c r="A1304" t="s">
        <v>37</v>
      </c>
      <c r="B1304" s="2" t="s">
        <v>2</v>
      </c>
      <c r="D1304" t="s">
        <v>81</v>
      </c>
      <c r="H1304">
        <v>11</v>
      </c>
    </row>
    <row r="1305" spans="1:8" x14ac:dyDescent="0.3">
      <c r="A1305" t="s">
        <v>37</v>
      </c>
      <c r="B1305" s="2" t="s">
        <v>4</v>
      </c>
      <c r="D1305" t="s">
        <v>81</v>
      </c>
      <c r="H1305">
        <v>6</v>
      </c>
    </row>
    <row r="1306" spans="1:8" x14ac:dyDescent="0.3">
      <c r="A1306" t="s">
        <v>37</v>
      </c>
      <c r="B1306" s="2" t="s">
        <v>4</v>
      </c>
      <c r="D1306" t="s">
        <v>74</v>
      </c>
      <c r="H1306">
        <v>2</v>
      </c>
    </row>
    <row r="1307" spans="1:8" x14ac:dyDescent="0.3">
      <c r="A1307" t="s">
        <v>37</v>
      </c>
      <c r="B1307" s="2" t="s">
        <v>2</v>
      </c>
      <c r="D1307" t="s">
        <v>3</v>
      </c>
      <c r="H1307">
        <v>2</v>
      </c>
    </row>
    <row r="1308" spans="1:8" x14ac:dyDescent="0.3">
      <c r="A1308" t="s">
        <v>37</v>
      </c>
      <c r="B1308" s="2" t="s">
        <v>4</v>
      </c>
      <c r="D1308" t="s">
        <v>3</v>
      </c>
      <c r="H1308">
        <v>1</v>
      </c>
    </row>
    <row r="1309" spans="1:8" x14ac:dyDescent="0.3">
      <c r="A1309" t="s">
        <v>37</v>
      </c>
      <c r="B1309" s="2" t="s">
        <v>2</v>
      </c>
      <c r="D1309" t="s">
        <v>9</v>
      </c>
      <c r="H1309">
        <v>4</v>
      </c>
    </row>
    <row r="1310" spans="1:8" x14ac:dyDescent="0.3">
      <c r="A1310" t="s">
        <v>37</v>
      </c>
      <c r="B1310" s="2" t="s">
        <v>2</v>
      </c>
      <c r="D1310" t="s">
        <v>11</v>
      </c>
      <c r="H1310">
        <v>36</v>
      </c>
    </row>
    <row r="1311" spans="1:8" x14ac:dyDescent="0.3">
      <c r="A1311" t="s">
        <v>37</v>
      </c>
      <c r="B1311" s="2" t="s">
        <v>4</v>
      </c>
      <c r="D1311" t="s">
        <v>11</v>
      </c>
      <c r="H1311">
        <v>7</v>
      </c>
    </row>
    <row r="1312" spans="1:8" x14ac:dyDescent="0.3">
      <c r="A1312" t="s">
        <v>37</v>
      </c>
      <c r="B1312" s="2" t="s">
        <v>2</v>
      </c>
      <c r="D1312" t="s">
        <v>80</v>
      </c>
      <c r="H1312">
        <v>32</v>
      </c>
    </row>
    <row r="1313" spans="1:8" x14ac:dyDescent="0.3">
      <c r="A1313" t="s">
        <v>37</v>
      </c>
      <c r="B1313" s="2" t="s">
        <v>4</v>
      </c>
      <c r="D1313" t="s">
        <v>80</v>
      </c>
      <c r="H1313">
        <v>6</v>
      </c>
    </row>
    <row r="1314" spans="1:8" x14ac:dyDescent="0.3">
      <c r="A1314" t="s">
        <v>37</v>
      </c>
      <c r="B1314" s="2" t="s">
        <v>2</v>
      </c>
      <c r="D1314" t="s">
        <v>8</v>
      </c>
      <c r="H1314">
        <v>1</v>
      </c>
    </row>
    <row r="1315" spans="1:8" x14ac:dyDescent="0.3">
      <c r="A1315" t="s">
        <v>37</v>
      </c>
      <c r="B1315" s="2" t="s">
        <v>2</v>
      </c>
      <c r="D1315" t="s">
        <v>76</v>
      </c>
      <c r="H1315">
        <v>29</v>
      </c>
    </row>
    <row r="1316" spans="1:8" x14ac:dyDescent="0.3">
      <c r="A1316" t="s">
        <v>37</v>
      </c>
      <c r="B1316" s="2" t="s">
        <v>2</v>
      </c>
      <c r="D1316" t="s">
        <v>10</v>
      </c>
      <c r="H1316">
        <v>17</v>
      </c>
    </row>
    <row r="1317" spans="1:8" x14ac:dyDescent="0.3">
      <c r="A1317" t="s">
        <v>37</v>
      </c>
      <c r="B1317" s="2" t="s">
        <v>4</v>
      </c>
      <c r="D1317" t="s">
        <v>10</v>
      </c>
      <c r="H1317">
        <v>4</v>
      </c>
    </row>
    <row r="1318" spans="1:8" x14ac:dyDescent="0.3">
      <c r="A1318" t="s">
        <v>37</v>
      </c>
      <c r="B1318" s="2" t="s">
        <v>2</v>
      </c>
      <c r="D1318" t="s">
        <v>5</v>
      </c>
      <c r="H1318">
        <v>2</v>
      </c>
    </row>
    <row r="1319" spans="1:8" x14ac:dyDescent="0.3">
      <c r="A1319" t="s">
        <v>37</v>
      </c>
      <c r="B1319" s="2" t="s">
        <v>2</v>
      </c>
      <c r="D1319" t="s">
        <v>14</v>
      </c>
      <c r="H1319">
        <v>10</v>
      </c>
    </row>
    <row r="1320" spans="1:8" x14ac:dyDescent="0.3">
      <c r="A1320" t="s">
        <v>37</v>
      </c>
      <c r="B1320" s="2" t="s">
        <v>4</v>
      </c>
      <c r="D1320" t="s">
        <v>14</v>
      </c>
      <c r="H1320">
        <v>15</v>
      </c>
    </row>
    <row r="1321" spans="1:8" x14ac:dyDescent="0.3">
      <c r="A1321" t="s">
        <v>37</v>
      </c>
      <c r="B1321" s="2" t="s">
        <v>2</v>
      </c>
      <c r="D1321" t="s">
        <v>15</v>
      </c>
      <c r="H1321">
        <v>4</v>
      </c>
    </row>
    <row r="1322" spans="1:8" x14ac:dyDescent="0.3">
      <c r="A1322" t="s">
        <v>37</v>
      </c>
      <c r="B1322" s="2" t="s">
        <v>2</v>
      </c>
      <c r="D1322" t="s">
        <v>17</v>
      </c>
      <c r="H1322">
        <v>1</v>
      </c>
    </row>
    <row r="1323" spans="1:8" x14ac:dyDescent="0.3">
      <c r="A1323" t="s">
        <v>37</v>
      </c>
      <c r="B1323" s="2" t="s">
        <v>4</v>
      </c>
      <c r="D1323" t="s">
        <v>17</v>
      </c>
      <c r="H1323">
        <v>1</v>
      </c>
    </row>
    <row r="1324" spans="1:8" x14ac:dyDescent="0.3">
      <c r="A1324" t="s">
        <v>37</v>
      </c>
      <c r="B1324" s="2" t="s">
        <v>2</v>
      </c>
      <c r="D1324" t="s">
        <v>6</v>
      </c>
      <c r="H1324">
        <v>1</v>
      </c>
    </row>
    <row r="1325" spans="1:8" x14ac:dyDescent="0.3">
      <c r="A1325" t="s">
        <v>37</v>
      </c>
      <c r="B1325" s="2" t="s">
        <v>4</v>
      </c>
      <c r="D1325" t="s">
        <v>6</v>
      </c>
      <c r="H1325">
        <v>2</v>
      </c>
    </row>
    <row r="1326" spans="1:8" x14ac:dyDescent="0.3">
      <c r="A1326" t="s">
        <v>37</v>
      </c>
      <c r="B1326" s="2" t="s">
        <v>4</v>
      </c>
      <c r="D1326" t="s">
        <v>77</v>
      </c>
      <c r="H1326">
        <v>1</v>
      </c>
    </row>
    <row r="1327" spans="1:8" x14ac:dyDescent="0.3">
      <c r="A1327" t="s">
        <v>37</v>
      </c>
      <c r="B1327" s="2" t="s">
        <v>2</v>
      </c>
      <c r="D1327" t="s">
        <v>78</v>
      </c>
      <c r="H1327">
        <v>14</v>
      </c>
    </row>
    <row r="1328" spans="1:8" x14ac:dyDescent="0.3">
      <c r="A1328" t="s">
        <v>37</v>
      </c>
      <c r="B1328" s="2" t="s">
        <v>4</v>
      </c>
      <c r="D1328" t="s">
        <v>78</v>
      </c>
      <c r="H1328">
        <v>4</v>
      </c>
    </row>
    <row r="1329" spans="1:8" x14ac:dyDescent="0.3">
      <c r="A1329" t="s">
        <v>37</v>
      </c>
      <c r="B1329" s="2" t="s">
        <v>2</v>
      </c>
      <c r="E1329" t="s">
        <v>21</v>
      </c>
      <c r="H1329">
        <v>16</v>
      </c>
    </row>
    <row r="1330" spans="1:8" x14ac:dyDescent="0.3">
      <c r="A1330" t="s">
        <v>37</v>
      </c>
      <c r="B1330" s="2" t="s">
        <v>4</v>
      </c>
      <c r="E1330" t="s">
        <v>21</v>
      </c>
      <c r="H1330">
        <v>3</v>
      </c>
    </row>
    <row r="1331" spans="1:8" x14ac:dyDescent="0.3">
      <c r="A1331" t="s">
        <v>37</v>
      </c>
      <c r="B1331" s="2" t="s">
        <v>2</v>
      </c>
      <c r="E1331" t="s">
        <v>91</v>
      </c>
      <c r="H1331">
        <f>54+22</f>
        <v>76</v>
      </c>
    </row>
    <row r="1332" spans="1:8" x14ac:dyDescent="0.3">
      <c r="A1332" t="s">
        <v>37</v>
      </c>
      <c r="B1332" s="2" t="s">
        <v>4</v>
      </c>
      <c r="E1332" t="s">
        <v>91</v>
      </c>
      <c r="H1332">
        <v>26</v>
      </c>
    </row>
    <row r="1333" spans="1:8" x14ac:dyDescent="0.3">
      <c r="A1333" t="s">
        <v>37</v>
      </c>
      <c r="B1333" s="2" t="s">
        <v>2</v>
      </c>
      <c r="E1333" t="s">
        <v>90</v>
      </c>
      <c r="H1333">
        <v>56</v>
      </c>
    </row>
    <row r="1334" spans="1:8" x14ac:dyDescent="0.3">
      <c r="A1334" t="s">
        <v>37</v>
      </c>
      <c r="B1334" s="2" t="s">
        <v>4</v>
      </c>
      <c r="E1334" t="s">
        <v>90</v>
      </c>
      <c r="H1334">
        <v>19</v>
      </c>
    </row>
    <row r="1335" spans="1:8" x14ac:dyDescent="0.3">
      <c r="A1335" t="s">
        <v>37</v>
      </c>
      <c r="B1335" s="2" t="s">
        <v>2</v>
      </c>
      <c r="E1335" t="s">
        <v>89</v>
      </c>
      <c r="H1335">
        <v>14</v>
      </c>
    </row>
    <row r="1336" spans="1:8" x14ac:dyDescent="0.3">
      <c r="A1336" t="s">
        <v>37</v>
      </c>
      <c r="B1336" s="2" t="s">
        <v>4</v>
      </c>
      <c r="E1336" t="s">
        <v>89</v>
      </c>
      <c r="H1336">
        <v>1</v>
      </c>
    </row>
    <row r="1337" spans="1:8" x14ac:dyDescent="0.3">
      <c r="A1337" t="s">
        <v>37</v>
      </c>
      <c r="B1337" s="2" t="s">
        <v>2</v>
      </c>
      <c r="E1337" t="s">
        <v>60</v>
      </c>
      <c r="H1337">
        <v>1</v>
      </c>
    </row>
    <row r="1338" spans="1:8" x14ac:dyDescent="0.3">
      <c r="A1338" t="s">
        <v>37</v>
      </c>
      <c r="B1338" s="2" t="s">
        <v>2</v>
      </c>
      <c r="E1338" t="s">
        <v>62</v>
      </c>
      <c r="H1338">
        <v>1</v>
      </c>
    </row>
    <row r="1339" spans="1:8" x14ac:dyDescent="0.3">
      <c r="A1339" t="s">
        <v>37</v>
      </c>
      <c r="B1339" s="2" t="s">
        <v>2</v>
      </c>
      <c r="F1339" t="s">
        <v>64</v>
      </c>
      <c r="H1339">
        <v>67</v>
      </c>
    </row>
    <row r="1340" spans="1:8" x14ac:dyDescent="0.3">
      <c r="A1340" t="s">
        <v>37</v>
      </c>
      <c r="B1340" s="2" t="s">
        <v>4</v>
      </c>
      <c r="F1340" t="s">
        <v>64</v>
      </c>
      <c r="H1340">
        <v>27</v>
      </c>
    </row>
    <row r="1341" spans="1:8" x14ac:dyDescent="0.3">
      <c r="A1341" t="s">
        <v>37</v>
      </c>
      <c r="B1341" s="2" t="s">
        <v>2</v>
      </c>
      <c r="F1341" t="s">
        <v>18</v>
      </c>
      <c r="H1341">
        <v>90</v>
      </c>
    </row>
    <row r="1342" spans="1:8" x14ac:dyDescent="0.3">
      <c r="A1342" t="s">
        <v>37</v>
      </c>
      <c r="B1342" s="2" t="s">
        <v>4</v>
      </c>
      <c r="F1342" t="s">
        <v>18</v>
      </c>
      <c r="H1342">
        <v>16</v>
      </c>
    </row>
    <row r="1343" spans="1:8" x14ac:dyDescent="0.3">
      <c r="A1343" t="s">
        <v>37</v>
      </c>
      <c r="B1343" s="2" t="s">
        <v>2</v>
      </c>
      <c r="F1343" t="s">
        <v>19</v>
      </c>
      <c r="H1343">
        <v>2</v>
      </c>
    </row>
    <row r="1344" spans="1:8" x14ac:dyDescent="0.3">
      <c r="A1344" t="s">
        <v>37</v>
      </c>
      <c r="B1344" s="2" t="s">
        <v>4</v>
      </c>
      <c r="F1344" t="s">
        <v>19</v>
      </c>
      <c r="H1344">
        <v>3</v>
      </c>
    </row>
    <row r="1345" spans="1:8" x14ac:dyDescent="0.3">
      <c r="A1345" t="s">
        <v>37</v>
      </c>
      <c r="B1345" s="2" t="s">
        <v>2</v>
      </c>
      <c r="F1345" t="s">
        <v>20</v>
      </c>
      <c r="H1345">
        <v>2</v>
      </c>
    </row>
    <row r="1346" spans="1:8" x14ac:dyDescent="0.3">
      <c r="A1346" t="s">
        <v>37</v>
      </c>
      <c r="B1346" s="2" t="s">
        <v>4</v>
      </c>
      <c r="F1346" t="s">
        <v>20</v>
      </c>
      <c r="H1346">
        <v>1</v>
      </c>
    </row>
    <row r="1347" spans="1:8" x14ac:dyDescent="0.3">
      <c r="A1347" t="s">
        <v>37</v>
      </c>
      <c r="B1347" s="2" t="s">
        <v>2</v>
      </c>
      <c r="F1347" t="s">
        <v>65</v>
      </c>
      <c r="H1347">
        <v>3</v>
      </c>
    </row>
    <row r="1348" spans="1:8" x14ac:dyDescent="0.3">
      <c r="A1348" t="s">
        <v>37</v>
      </c>
      <c r="B1348" s="2" t="s">
        <v>4</v>
      </c>
      <c r="F1348" t="s">
        <v>65</v>
      </c>
      <c r="H1348">
        <v>2</v>
      </c>
    </row>
    <row r="1349" spans="1:8" x14ac:dyDescent="0.3">
      <c r="A1349" t="s">
        <v>37</v>
      </c>
      <c r="B1349" s="2" t="s">
        <v>4</v>
      </c>
      <c r="G1349" t="s">
        <v>68</v>
      </c>
      <c r="H1349">
        <v>16</v>
      </c>
    </row>
    <row r="1350" spans="1:8" x14ac:dyDescent="0.3">
      <c r="A1350" t="s">
        <v>37</v>
      </c>
      <c r="B1350" s="2" t="s">
        <v>2</v>
      </c>
      <c r="G1350" t="s">
        <v>82</v>
      </c>
      <c r="H1350">
        <v>6</v>
      </c>
    </row>
    <row r="1351" spans="1:8" x14ac:dyDescent="0.3">
      <c r="A1351" t="s">
        <v>37</v>
      </c>
      <c r="B1351" s="2" t="s">
        <v>4</v>
      </c>
      <c r="G1351" t="s">
        <v>82</v>
      </c>
      <c r="H1351">
        <v>1</v>
      </c>
    </row>
    <row r="1352" spans="1:8" x14ac:dyDescent="0.3">
      <c r="A1352" t="s">
        <v>37</v>
      </c>
      <c r="B1352" s="2" t="s">
        <v>2</v>
      </c>
      <c r="G1352" t="s">
        <v>83</v>
      </c>
      <c r="H1352">
        <v>7</v>
      </c>
    </row>
    <row r="1353" spans="1:8" x14ac:dyDescent="0.3">
      <c r="A1353" t="s">
        <v>37</v>
      </c>
      <c r="B1353" s="2" t="s">
        <v>4</v>
      </c>
      <c r="G1353" t="s">
        <v>83</v>
      </c>
      <c r="H1353">
        <v>3</v>
      </c>
    </row>
    <row r="1354" spans="1:8" x14ac:dyDescent="0.3">
      <c r="A1354" t="s">
        <v>37</v>
      </c>
      <c r="B1354" s="2" t="s">
        <v>2</v>
      </c>
      <c r="G1354" t="s">
        <v>69</v>
      </c>
      <c r="H1354">
        <v>20</v>
      </c>
    </row>
    <row r="1355" spans="1:8" x14ac:dyDescent="0.3">
      <c r="A1355" t="s">
        <v>37</v>
      </c>
      <c r="B1355" s="2" t="s">
        <v>4</v>
      </c>
      <c r="G1355" t="s">
        <v>69</v>
      </c>
      <c r="H1355">
        <v>22</v>
      </c>
    </row>
    <row r="1356" spans="1:8" x14ac:dyDescent="0.3">
      <c r="A1356" t="s">
        <v>37</v>
      </c>
      <c r="B1356" s="2" t="s">
        <v>2</v>
      </c>
      <c r="G1356" t="s">
        <v>70</v>
      </c>
      <c r="H1356">
        <v>63</v>
      </c>
    </row>
    <row r="1357" spans="1:8" x14ac:dyDescent="0.3">
      <c r="A1357" t="s">
        <v>37</v>
      </c>
      <c r="B1357" s="2" t="s">
        <v>4</v>
      </c>
      <c r="G1357" t="s">
        <v>70</v>
      </c>
      <c r="H1357">
        <v>2</v>
      </c>
    </row>
    <row r="1358" spans="1:8" x14ac:dyDescent="0.3">
      <c r="A1358" t="s">
        <v>37</v>
      </c>
      <c r="B1358" s="2" t="s">
        <v>2</v>
      </c>
      <c r="G1358" t="s">
        <v>84</v>
      </c>
      <c r="H1358">
        <v>7</v>
      </c>
    </row>
    <row r="1359" spans="1:8" x14ac:dyDescent="0.3">
      <c r="A1359" t="s">
        <v>37</v>
      </c>
      <c r="B1359" s="2" t="s">
        <v>4</v>
      </c>
      <c r="G1359" t="s">
        <v>84</v>
      </c>
      <c r="H1359">
        <v>3</v>
      </c>
    </row>
    <row r="1360" spans="1:8" x14ac:dyDescent="0.3">
      <c r="A1360" t="s">
        <v>37</v>
      </c>
      <c r="B1360" s="2" t="s">
        <v>2</v>
      </c>
      <c r="G1360" t="s">
        <v>85</v>
      </c>
      <c r="H1360">
        <v>6</v>
      </c>
    </row>
    <row r="1361" spans="1:8" x14ac:dyDescent="0.3">
      <c r="A1361" t="s">
        <v>37</v>
      </c>
      <c r="B1361" s="2" t="s">
        <v>4</v>
      </c>
      <c r="G1361" t="s">
        <v>85</v>
      </c>
      <c r="H1361">
        <v>1</v>
      </c>
    </row>
    <row r="1362" spans="1:8" x14ac:dyDescent="0.3">
      <c r="A1362" t="s">
        <v>37</v>
      </c>
      <c r="B1362" s="2" t="s">
        <v>2</v>
      </c>
      <c r="G1362" t="s">
        <v>71</v>
      </c>
      <c r="H1362">
        <v>55</v>
      </c>
    </row>
    <row r="1363" spans="1:8" x14ac:dyDescent="0.3">
      <c r="A1363" t="s">
        <v>37</v>
      </c>
      <c r="B1363" s="2" t="s">
        <v>4</v>
      </c>
      <c r="G1363" t="s">
        <v>71</v>
      </c>
      <c r="H1363">
        <v>1</v>
      </c>
    </row>
    <row r="1364" spans="1:8" x14ac:dyDescent="0.3">
      <c r="A1364" t="s">
        <v>38</v>
      </c>
      <c r="B1364" s="2" t="s">
        <v>2</v>
      </c>
      <c r="C1364" s="4" t="s">
        <v>13</v>
      </c>
      <c r="H1364" s="3">
        <v>8</v>
      </c>
    </row>
    <row r="1365" spans="1:8" x14ac:dyDescent="0.3">
      <c r="A1365" t="s">
        <v>38</v>
      </c>
      <c r="B1365" s="2" t="s">
        <v>2</v>
      </c>
      <c r="C1365" s="4" t="s">
        <v>104</v>
      </c>
      <c r="H1365" s="3">
        <v>8</v>
      </c>
    </row>
    <row r="1366" spans="1:8" x14ac:dyDescent="0.3">
      <c r="A1366" t="s">
        <v>38</v>
      </c>
      <c r="B1366" s="2" t="s">
        <v>2</v>
      </c>
      <c r="C1366" s="4" t="s">
        <v>7</v>
      </c>
      <c r="H1366" s="3">
        <v>111</v>
      </c>
    </row>
    <row r="1367" spans="1:8" x14ac:dyDescent="0.3">
      <c r="A1367" t="s">
        <v>38</v>
      </c>
      <c r="B1367" s="2" t="s">
        <v>4</v>
      </c>
      <c r="C1367" s="4" t="s">
        <v>7</v>
      </c>
      <c r="H1367" s="3">
        <v>18</v>
      </c>
    </row>
    <row r="1368" spans="1:8" x14ac:dyDescent="0.3">
      <c r="A1368" t="s">
        <v>38</v>
      </c>
      <c r="B1368" s="2" t="s">
        <v>2</v>
      </c>
      <c r="C1368" s="4" t="s">
        <v>79</v>
      </c>
      <c r="H1368" s="3">
        <v>1</v>
      </c>
    </row>
    <row r="1369" spans="1:8" x14ac:dyDescent="0.3">
      <c r="A1369" t="s">
        <v>38</v>
      </c>
      <c r="B1369" s="2" t="s">
        <v>2</v>
      </c>
      <c r="C1369" s="4" t="s">
        <v>58</v>
      </c>
      <c r="H1369" s="3">
        <v>7</v>
      </c>
    </row>
    <row r="1370" spans="1:8" x14ac:dyDescent="0.3">
      <c r="A1370" t="s">
        <v>38</v>
      </c>
      <c r="B1370" s="2" t="s">
        <v>2</v>
      </c>
      <c r="D1370" t="s">
        <v>16</v>
      </c>
      <c r="H1370">
        <v>3</v>
      </c>
    </row>
    <row r="1371" spans="1:8" x14ac:dyDescent="0.3">
      <c r="A1371" t="s">
        <v>38</v>
      </c>
      <c r="B1371" s="2" t="s">
        <v>2</v>
      </c>
      <c r="D1371" t="s">
        <v>3</v>
      </c>
      <c r="H1371">
        <v>2</v>
      </c>
    </row>
    <row r="1372" spans="1:8" x14ac:dyDescent="0.3">
      <c r="A1372" t="s">
        <v>38</v>
      </c>
      <c r="B1372" s="2" t="s">
        <v>2</v>
      </c>
      <c r="D1372" t="s">
        <v>75</v>
      </c>
      <c r="H1372">
        <v>1</v>
      </c>
    </row>
    <row r="1373" spans="1:8" x14ac:dyDescent="0.3">
      <c r="A1373" t="s">
        <v>38</v>
      </c>
      <c r="B1373" s="2" t="s">
        <v>2</v>
      </c>
      <c r="D1373" t="s">
        <v>11</v>
      </c>
      <c r="H1373">
        <v>21</v>
      </c>
    </row>
    <row r="1374" spans="1:8" x14ac:dyDescent="0.3">
      <c r="A1374" t="s">
        <v>38</v>
      </c>
      <c r="B1374" s="2" t="s">
        <v>4</v>
      </c>
      <c r="D1374" t="s">
        <v>11</v>
      </c>
      <c r="H1374">
        <v>6</v>
      </c>
    </row>
    <row r="1375" spans="1:8" x14ac:dyDescent="0.3">
      <c r="A1375" t="s">
        <v>38</v>
      </c>
      <c r="B1375" s="2" t="s">
        <v>2</v>
      </c>
      <c r="D1375" t="s">
        <v>80</v>
      </c>
      <c r="H1375">
        <v>23</v>
      </c>
    </row>
    <row r="1376" spans="1:8" x14ac:dyDescent="0.3">
      <c r="A1376" t="s">
        <v>38</v>
      </c>
      <c r="B1376" s="2" t="s">
        <v>4</v>
      </c>
      <c r="D1376" t="s">
        <v>80</v>
      </c>
      <c r="H1376">
        <v>3</v>
      </c>
    </row>
    <row r="1377" spans="1:8" x14ac:dyDescent="0.3">
      <c r="A1377" t="s">
        <v>38</v>
      </c>
      <c r="B1377" s="2" t="s">
        <v>2</v>
      </c>
      <c r="D1377" t="s">
        <v>76</v>
      </c>
      <c r="H1377">
        <v>61</v>
      </c>
    </row>
    <row r="1378" spans="1:8" x14ac:dyDescent="0.3">
      <c r="A1378" t="s">
        <v>38</v>
      </c>
      <c r="B1378" s="2" t="s">
        <v>4</v>
      </c>
      <c r="D1378" t="s">
        <v>76</v>
      </c>
      <c r="H1378">
        <v>9</v>
      </c>
    </row>
    <row r="1379" spans="1:8" x14ac:dyDescent="0.3">
      <c r="A1379" t="s">
        <v>38</v>
      </c>
      <c r="B1379" s="2" t="s">
        <v>2</v>
      </c>
      <c r="D1379" t="s">
        <v>14</v>
      </c>
      <c r="H1379">
        <v>6</v>
      </c>
    </row>
    <row r="1380" spans="1:8" x14ac:dyDescent="0.3">
      <c r="A1380" t="s">
        <v>38</v>
      </c>
      <c r="B1380" s="2" t="s">
        <v>2</v>
      </c>
      <c r="D1380" t="s">
        <v>15</v>
      </c>
      <c r="H1380">
        <v>7</v>
      </c>
    </row>
    <row r="1381" spans="1:8" x14ac:dyDescent="0.3">
      <c r="A1381" t="s">
        <v>38</v>
      </c>
      <c r="B1381" s="2" t="s">
        <v>2</v>
      </c>
      <c r="D1381" t="s">
        <v>17</v>
      </c>
      <c r="H1381">
        <v>11</v>
      </c>
    </row>
    <row r="1382" spans="1:8" x14ac:dyDescent="0.3">
      <c r="A1382" t="s">
        <v>38</v>
      </c>
      <c r="B1382" s="2" t="s">
        <v>2</v>
      </c>
      <c r="E1382" t="s">
        <v>91</v>
      </c>
      <c r="H1382">
        <v>38</v>
      </c>
    </row>
    <row r="1383" spans="1:8" x14ac:dyDescent="0.3">
      <c r="A1383" t="s">
        <v>38</v>
      </c>
      <c r="B1383" s="2" t="s">
        <v>4</v>
      </c>
      <c r="E1383" t="s">
        <v>91</v>
      </c>
      <c r="H1383">
        <v>7</v>
      </c>
    </row>
    <row r="1384" spans="1:8" x14ac:dyDescent="0.3">
      <c r="A1384" t="s">
        <v>38</v>
      </c>
      <c r="B1384" s="2" t="s">
        <v>2</v>
      </c>
      <c r="E1384" t="s">
        <v>90</v>
      </c>
      <c r="H1384">
        <v>68</v>
      </c>
    </row>
    <row r="1385" spans="1:8" x14ac:dyDescent="0.3">
      <c r="A1385" t="s">
        <v>38</v>
      </c>
      <c r="B1385" s="2" t="s">
        <v>4</v>
      </c>
      <c r="E1385" t="s">
        <v>90</v>
      </c>
      <c r="H1385">
        <v>10</v>
      </c>
    </row>
    <row r="1386" spans="1:8" x14ac:dyDescent="0.3">
      <c r="A1386" t="s">
        <v>38</v>
      </c>
      <c r="B1386" s="2" t="s">
        <v>2</v>
      </c>
      <c r="E1386" t="s">
        <v>89</v>
      </c>
      <c r="H1386">
        <v>29</v>
      </c>
    </row>
    <row r="1387" spans="1:8" x14ac:dyDescent="0.3">
      <c r="A1387" t="s">
        <v>38</v>
      </c>
      <c r="B1387" s="2" t="s">
        <v>4</v>
      </c>
      <c r="E1387" t="s">
        <v>89</v>
      </c>
      <c r="H1387">
        <v>1</v>
      </c>
    </row>
    <row r="1388" spans="1:8" x14ac:dyDescent="0.3">
      <c r="A1388" t="s">
        <v>38</v>
      </c>
      <c r="B1388" s="2" t="s">
        <v>2</v>
      </c>
      <c r="F1388" t="s">
        <v>64</v>
      </c>
      <c r="H1388">
        <v>56</v>
      </c>
    </row>
    <row r="1389" spans="1:8" x14ac:dyDescent="0.3">
      <c r="A1389" t="s">
        <v>38</v>
      </c>
      <c r="B1389" s="2" t="s">
        <v>4</v>
      </c>
      <c r="F1389" t="s">
        <v>64</v>
      </c>
      <c r="H1389">
        <v>7</v>
      </c>
    </row>
    <row r="1390" spans="1:8" x14ac:dyDescent="0.3">
      <c r="A1390" t="s">
        <v>38</v>
      </c>
      <c r="B1390" s="2" t="s">
        <v>2</v>
      </c>
      <c r="F1390" t="s">
        <v>18</v>
      </c>
      <c r="H1390">
        <v>49</v>
      </c>
    </row>
    <row r="1391" spans="1:8" x14ac:dyDescent="0.3">
      <c r="A1391" t="s">
        <v>38</v>
      </c>
      <c r="B1391" s="2" t="s">
        <v>4</v>
      </c>
      <c r="F1391" t="s">
        <v>18</v>
      </c>
      <c r="H1391">
        <v>9</v>
      </c>
    </row>
    <row r="1392" spans="1:8" x14ac:dyDescent="0.3">
      <c r="A1392" t="s">
        <v>38</v>
      </c>
      <c r="B1392" s="2" t="s">
        <v>2</v>
      </c>
      <c r="F1392" t="s">
        <v>19</v>
      </c>
      <c r="H1392">
        <v>9</v>
      </c>
    </row>
    <row r="1393" spans="1:8" x14ac:dyDescent="0.3">
      <c r="A1393" t="s">
        <v>38</v>
      </c>
      <c r="B1393" s="2" t="s">
        <v>4</v>
      </c>
      <c r="F1393" t="s">
        <v>19</v>
      </c>
      <c r="H1393">
        <v>1</v>
      </c>
    </row>
    <row r="1394" spans="1:8" x14ac:dyDescent="0.3">
      <c r="A1394" t="s">
        <v>38</v>
      </c>
      <c r="B1394" s="2" t="s">
        <v>2</v>
      </c>
      <c r="F1394" t="s">
        <v>20</v>
      </c>
      <c r="H1394">
        <v>17</v>
      </c>
    </row>
    <row r="1395" spans="1:8" x14ac:dyDescent="0.3">
      <c r="A1395" t="s">
        <v>38</v>
      </c>
      <c r="B1395" s="2" t="s">
        <v>4</v>
      </c>
      <c r="F1395" t="s">
        <v>20</v>
      </c>
      <c r="H1395">
        <v>1</v>
      </c>
    </row>
    <row r="1396" spans="1:8" x14ac:dyDescent="0.3">
      <c r="A1396" t="s">
        <v>38</v>
      </c>
      <c r="B1396" s="2" t="s">
        <v>2</v>
      </c>
      <c r="F1396" t="s">
        <v>65</v>
      </c>
      <c r="H1396">
        <v>4</v>
      </c>
    </row>
    <row r="1397" spans="1:8" x14ac:dyDescent="0.3">
      <c r="A1397" t="s">
        <v>38</v>
      </c>
      <c r="B1397" s="2" t="s">
        <v>4</v>
      </c>
      <c r="G1397" t="s">
        <v>68</v>
      </c>
      <c r="H1397">
        <v>7</v>
      </c>
    </row>
    <row r="1398" spans="1:8" x14ac:dyDescent="0.3">
      <c r="A1398" t="s">
        <v>38</v>
      </c>
      <c r="B1398" s="2" t="s">
        <v>2</v>
      </c>
      <c r="G1398" t="s">
        <v>82</v>
      </c>
      <c r="H1398">
        <v>3</v>
      </c>
    </row>
    <row r="1399" spans="1:8" x14ac:dyDescent="0.3">
      <c r="A1399" t="s">
        <v>38</v>
      </c>
      <c r="B1399" s="2" t="s">
        <v>2</v>
      </c>
      <c r="G1399" t="s">
        <v>69</v>
      </c>
      <c r="H1399">
        <v>22</v>
      </c>
    </row>
    <row r="1400" spans="1:8" x14ac:dyDescent="0.3">
      <c r="A1400" t="s">
        <v>38</v>
      </c>
      <c r="B1400" s="2" t="s">
        <v>4</v>
      </c>
      <c r="G1400" t="s">
        <v>69</v>
      </c>
      <c r="H1400">
        <v>2</v>
      </c>
    </row>
    <row r="1401" spans="1:8" x14ac:dyDescent="0.3">
      <c r="A1401" t="s">
        <v>38</v>
      </c>
      <c r="B1401" s="2" t="s">
        <v>2</v>
      </c>
      <c r="G1401" t="s">
        <v>70</v>
      </c>
      <c r="H1401">
        <v>100</v>
      </c>
    </row>
    <row r="1402" spans="1:8" x14ac:dyDescent="0.3">
      <c r="A1402" t="s">
        <v>38</v>
      </c>
      <c r="B1402" s="2" t="s">
        <v>4</v>
      </c>
      <c r="G1402" t="s">
        <v>70</v>
      </c>
      <c r="H1402">
        <v>9</v>
      </c>
    </row>
    <row r="1403" spans="1:8" x14ac:dyDescent="0.3">
      <c r="A1403" t="s">
        <v>38</v>
      </c>
      <c r="B1403" s="2" t="s">
        <v>2</v>
      </c>
      <c r="G1403" t="s">
        <v>84</v>
      </c>
      <c r="H1403">
        <v>2</v>
      </c>
    </row>
    <row r="1404" spans="1:8" x14ac:dyDescent="0.3">
      <c r="A1404" t="s">
        <v>38</v>
      </c>
      <c r="B1404" s="2" t="s">
        <v>2</v>
      </c>
      <c r="G1404" t="s">
        <v>71</v>
      </c>
      <c r="H1404">
        <v>8</v>
      </c>
    </row>
    <row r="1405" spans="1:8" x14ac:dyDescent="0.3">
      <c r="A1405" t="s">
        <v>39</v>
      </c>
      <c r="B1405" s="2" t="s">
        <v>4</v>
      </c>
      <c r="C1405" s="4" t="s">
        <v>104</v>
      </c>
      <c r="H1405" s="3">
        <v>2</v>
      </c>
    </row>
    <row r="1406" spans="1:8" x14ac:dyDescent="0.3">
      <c r="A1406" t="s">
        <v>39</v>
      </c>
      <c r="B1406" s="2" t="s">
        <v>2</v>
      </c>
      <c r="C1406" s="4" t="s">
        <v>7</v>
      </c>
      <c r="H1406" s="3">
        <v>39</v>
      </c>
    </row>
    <row r="1407" spans="1:8" x14ac:dyDescent="0.3">
      <c r="A1407" t="s">
        <v>39</v>
      </c>
      <c r="B1407" s="2" t="s">
        <v>4</v>
      </c>
      <c r="C1407" s="4" t="s">
        <v>7</v>
      </c>
      <c r="H1407" s="3">
        <v>8</v>
      </c>
    </row>
    <row r="1408" spans="1:8" x14ac:dyDescent="0.3">
      <c r="A1408" t="s">
        <v>39</v>
      </c>
      <c r="B1408" s="2" t="s">
        <v>2</v>
      </c>
      <c r="D1408" t="s">
        <v>16</v>
      </c>
      <c r="H1408">
        <v>3</v>
      </c>
    </row>
    <row r="1409" spans="1:8" x14ac:dyDescent="0.3">
      <c r="A1409" t="s">
        <v>39</v>
      </c>
      <c r="B1409" s="2" t="s">
        <v>4</v>
      </c>
      <c r="D1409" t="s">
        <v>16</v>
      </c>
      <c r="H1409">
        <v>1</v>
      </c>
    </row>
    <row r="1410" spans="1:8" x14ac:dyDescent="0.3">
      <c r="A1410" t="s">
        <v>39</v>
      </c>
      <c r="B1410" s="2" t="s">
        <v>2</v>
      </c>
      <c r="D1410" t="s">
        <v>74</v>
      </c>
      <c r="H1410">
        <v>1</v>
      </c>
    </row>
    <row r="1411" spans="1:8" x14ac:dyDescent="0.3">
      <c r="A1411" t="s">
        <v>39</v>
      </c>
      <c r="B1411" s="2" t="s">
        <v>4</v>
      </c>
      <c r="D1411" t="s">
        <v>74</v>
      </c>
      <c r="H1411">
        <v>1</v>
      </c>
    </row>
    <row r="1412" spans="1:8" x14ac:dyDescent="0.3">
      <c r="A1412" t="s">
        <v>39</v>
      </c>
      <c r="B1412" s="2" t="s">
        <v>2</v>
      </c>
      <c r="D1412" t="s">
        <v>3</v>
      </c>
      <c r="H1412">
        <v>2</v>
      </c>
    </row>
    <row r="1413" spans="1:8" x14ac:dyDescent="0.3">
      <c r="A1413" t="s">
        <v>39</v>
      </c>
      <c r="B1413" s="2" t="s">
        <v>2</v>
      </c>
      <c r="D1413" t="s">
        <v>9</v>
      </c>
      <c r="H1413">
        <v>1</v>
      </c>
    </row>
    <row r="1414" spans="1:8" x14ac:dyDescent="0.3">
      <c r="A1414" t="s">
        <v>39</v>
      </c>
      <c r="B1414" s="2" t="s">
        <v>2</v>
      </c>
      <c r="D1414" t="s">
        <v>11</v>
      </c>
      <c r="H1414">
        <v>8</v>
      </c>
    </row>
    <row r="1415" spans="1:8" x14ac:dyDescent="0.3">
      <c r="A1415" t="s">
        <v>39</v>
      </c>
      <c r="B1415" s="2" t="s">
        <v>2</v>
      </c>
      <c r="D1415" t="s">
        <v>76</v>
      </c>
      <c r="H1415">
        <v>2</v>
      </c>
    </row>
    <row r="1416" spans="1:8" x14ac:dyDescent="0.3">
      <c r="A1416" t="s">
        <v>39</v>
      </c>
      <c r="B1416" s="2" t="s">
        <v>2</v>
      </c>
      <c r="D1416" t="s">
        <v>10</v>
      </c>
      <c r="H1416">
        <v>1</v>
      </c>
    </row>
    <row r="1417" spans="1:8" x14ac:dyDescent="0.3">
      <c r="A1417" t="s">
        <v>39</v>
      </c>
      <c r="B1417" s="2" t="s">
        <v>2</v>
      </c>
      <c r="D1417" t="s">
        <v>14</v>
      </c>
      <c r="H1417">
        <v>1</v>
      </c>
    </row>
    <row r="1418" spans="1:8" x14ac:dyDescent="0.3">
      <c r="A1418" t="s">
        <v>39</v>
      </c>
      <c r="B1418" s="2" t="s">
        <v>4</v>
      </c>
      <c r="D1418" t="s">
        <v>14</v>
      </c>
      <c r="H1418">
        <v>2</v>
      </c>
    </row>
    <row r="1419" spans="1:8" x14ac:dyDescent="0.3">
      <c r="A1419" t="s">
        <v>39</v>
      </c>
      <c r="B1419" s="2" t="s">
        <v>2</v>
      </c>
      <c r="D1419" t="s">
        <v>15</v>
      </c>
      <c r="H1419">
        <v>1</v>
      </c>
    </row>
    <row r="1420" spans="1:8" x14ac:dyDescent="0.3">
      <c r="A1420" t="s">
        <v>39</v>
      </c>
      <c r="B1420" s="2" t="s">
        <v>2</v>
      </c>
      <c r="D1420" t="s">
        <v>17</v>
      </c>
      <c r="H1420">
        <v>1</v>
      </c>
    </row>
    <row r="1421" spans="1:8" x14ac:dyDescent="0.3">
      <c r="A1421" t="s">
        <v>39</v>
      </c>
      <c r="B1421" s="2" t="s">
        <v>2</v>
      </c>
      <c r="D1421" t="s">
        <v>6</v>
      </c>
      <c r="H1421">
        <v>1</v>
      </c>
    </row>
    <row r="1422" spans="1:8" x14ac:dyDescent="0.3">
      <c r="A1422" t="s">
        <v>39</v>
      </c>
      <c r="B1422" s="2" t="s">
        <v>4</v>
      </c>
      <c r="D1422" t="s">
        <v>6</v>
      </c>
      <c r="H1422">
        <v>1</v>
      </c>
    </row>
    <row r="1423" spans="1:8" x14ac:dyDescent="0.3">
      <c r="A1423" t="s">
        <v>39</v>
      </c>
      <c r="B1423" s="2" t="s">
        <v>4</v>
      </c>
      <c r="D1423" t="s">
        <v>81</v>
      </c>
      <c r="H1423">
        <v>1</v>
      </c>
    </row>
    <row r="1424" spans="1:8" x14ac:dyDescent="0.3">
      <c r="A1424" t="s">
        <v>39</v>
      </c>
      <c r="B1424" s="2" t="s">
        <v>2</v>
      </c>
      <c r="D1424" t="s">
        <v>78</v>
      </c>
      <c r="H1424">
        <v>17</v>
      </c>
    </row>
    <row r="1425" spans="1:8" x14ac:dyDescent="0.3">
      <c r="A1425" t="s">
        <v>39</v>
      </c>
      <c r="B1425" s="2" t="s">
        <v>4</v>
      </c>
      <c r="D1425" t="s">
        <v>78</v>
      </c>
      <c r="H1425">
        <v>4</v>
      </c>
    </row>
    <row r="1426" spans="1:8" x14ac:dyDescent="0.3">
      <c r="A1426" t="s">
        <v>39</v>
      </c>
      <c r="B1426" s="2" t="s">
        <v>2</v>
      </c>
      <c r="E1426" t="s">
        <v>21</v>
      </c>
      <c r="H1426">
        <v>1</v>
      </c>
    </row>
    <row r="1427" spans="1:8" x14ac:dyDescent="0.3">
      <c r="A1427" t="s">
        <v>39</v>
      </c>
      <c r="B1427" s="2" t="s">
        <v>4</v>
      </c>
      <c r="E1427" t="s">
        <v>21</v>
      </c>
      <c r="H1427">
        <v>1</v>
      </c>
    </row>
    <row r="1428" spans="1:8" x14ac:dyDescent="0.3">
      <c r="A1428" t="s">
        <v>39</v>
      </c>
      <c r="B1428" s="2" t="s">
        <v>2</v>
      </c>
      <c r="E1428" t="s">
        <v>91</v>
      </c>
      <c r="H1428">
        <v>19</v>
      </c>
    </row>
    <row r="1429" spans="1:8" x14ac:dyDescent="0.3">
      <c r="A1429" t="s">
        <v>39</v>
      </c>
      <c r="B1429" s="2" t="s">
        <v>4</v>
      </c>
      <c r="E1429" t="s">
        <v>91</v>
      </c>
      <c r="H1429">
        <v>4</v>
      </c>
    </row>
    <row r="1430" spans="1:8" x14ac:dyDescent="0.3">
      <c r="A1430" t="s">
        <v>39</v>
      </c>
      <c r="B1430" s="2" t="s">
        <v>2</v>
      </c>
      <c r="E1430" t="s">
        <v>90</v>
      </c>
      <c r="H1430">
        <v>3</v>
      </c>
    </row>
    <row r="1431" spans="1:8" x14ac:dyDescent="0.3">
      <c r="A1431" t="s">
        <v>39</v>
      </c>
      <c r="B1431" s="2" t="s">
        <v>4</v>
      </c>
      <c r="E1431" t="s">
        <v>90</v>
      </c>
      <c r="H1431">
        <v>4</v>
      </c>
    </row>
    <row r="1432" spans="1:8" x14ac:dyDescent="0.3">
      <c r="A1432" t="s">
        <v>39</v>
      </c>
      <c r="B1432" s="2" t="s">
        <v>2</v>
      </c>
      <c r="E1432" t="s">
        <v>89</v>
      </c>
      <c r="H1432">
        <v>7</v>
      </c>
    </row>
    <row r="1433" spans="1:8" x14ac:dyDescent="0.3">
      <c r="A1433" t="s">
        <v>39</v>
      </c>
      <c r="B1433" s="2" t="s">
        <v>4</v>
      </c>
      <c r="E1433" t="s">
        <v>89</v>
      </c>
      <c r="H1433">
        <v>1</v>
      </c>
    </row>
    <row r="1434" spans="1:8" x14ac:dyDescent="0.3">
      <c r="A1434" t="s">
        <v>39</v>
      </c>
      <c r="B1434" s="2" t="s">
        <v>2</v>
      </c>
      <c r="E1434" t="s">
        <v>61</v>
      </c>
      <c r="H1434">
        <v>5</v>
      </c>
    </row>
    <row r="1435" spans="1:8" x14ac:dyDescent="0.3">
      <c r="A1435" t="s">
        <v>39</v>
      </c>
      <c r="B1435" s="2" t="s">
        <v>2</v>
      </c>
      <c r="E1435" t="s">
        <v>62</v>
      </c>
      <c r="H1435">
        <v>4</v>
      </c>
    </row>
    <row r="1436" spans="1:8" x14ac:dyDescent="0.3">
      <c r="A1436" t="s">
        <v>39</v>
      </c>
      <c r="B1436" s="2" t="s">
        <v>2</v>
      </c>
      <c r="F1436" t="s">
        <v>64</v>
      </c>
      <c r="H1436">
        <v>14</v>
      </c>
    </row>
    <row r="1437" spans="1:8" x14ac:dyDescent="0.3">
      <c r="A1437" t="s">
        <v>39</v>
      </c>
      <c r="B1437" s="2" t="s">
        <v>4</v>
      </c>
      <c r="F1437" t="s">
        <v>64</v>
      </c>
      <c r="H1437">
        <v>2</v>
      </c>
    </row>
    <row r="1438" spans="1:8" x14ac:dyDescent="0.3">
      <c r="A1438" t="s">
        <v>39</v>
      </c>
      <c r="B1438" s="2" t="s">
        <v>2</v>
      </c>
      <c r="F1438" t="s">
        <v>18</v>
      </c>
      <c r="H1438">
        <v>21</v>
      </c>
    </row>
    <row r="1439" spans="1:8" x14ac:dyDescent="0.3">
      <c r="A1439" t="s">
        <v>39</v>
      </c>
      <c r="B1439" s="2" t="s">
        <v>4</v>
      </c>
      <c r="F1439" t="s">
        <v>18</v>
      </c>
      <c r="H1439">
        <v>6</v>
      </c>
    </row>
    <row r="1440" spans="1:8" x14ac:dyDescent="0.3">
      <c r="A1440" t="s">
        <v>39</v>
      </c>
      <c r="B1440" s="2" t="s">
        <v>4</v>
      </c>
      <c r="F1440" t="s">
        <v>19</v>
      </c>
      <c r="H1440">
        <v>1</v>
      </c>
    </row>
    <row r="1441" spans="1:8" x14ac:dyDescent="0.3">
      <c r="A1441" t="s">
        <v>39</v>
      </c>
      <c r="B1441" s="2" t="s">
        <v>2</v>
      </c>
      <c r="F1441" t="s">
        <v>20</v>
      </c>
      <c r="H1441">
        <v>4</v>
      </c>
    </row>
    <row r="1442" spans="1:8" x14ac:dyDescent="0.3">
      <c r="A1442" t="s">
        <v>39</v>
      </c>
      <c r="B1442" s="2" t="s">
        <v>4</v>
      </c>
      <c r="F1442" t="s">
        <v>20</v>
      </c>
      <c r="H1442">
        <v>1</v>
      </c>
    </row>
    <row r="1443" spans="1:8" x14ac:dyDescent="0.3">
      <c r="A1443" t="s">
        <v>39</v>
      </c>
      <c r="B1443" s="2" t="s">
        <v>4</v>
      </c>
      <c r="G1443" t="s">
        <v>68</v>
      </c>
      <c r="H1443">
        <v>5</v>
      </c>
    </row>
    <row r="1444" spans="1:8" x14ac:dyDescent="0.3">
      <c r="A1444" t="s">
        <v>39</v>
      </c>
      <c r="B1444" s="2" t="s">
        <v>2</v>
      </c>
      <c r="G1444" t="s">
        <v>82</v>
      </c>
      <c r="H1444">
        <v>1</v>
      </c>
    </row>
    <row r="1445" spans="1:8" x14ac:dyDescent="0.3">
      <c r="A1445" t="s">
        <v>39</v>
      </c>
      <c r="B1445" s="2" t="s">
        <v>2</v>
      </c>
      <c r="G1445" t="s">
        <v>83</v>
      </c>
      <c r="H1445">
        <v>3</v>
      </c>
    </row>
    <row r="1446" spans="1:8" x14ac:dyDescent="0.3">
      <c r="A1446" t="s">
        <v>39</v>
      </c>
      <c r="B1446" s="2" t="s">
        <v>2</v>
      </c>
      <c r="G1446" t="s">
        <v>69</v>
      </c>
      <c r="H1446">
        <v>4</v>
      </c>
    </row>
    <row r="1447" spans="1:8" x14ac:dyDescent="0.3">
      <c r="A1447" t="s">
        <v>39</v>
      </c>
      <c r="B1447" s="2" t="s">
        <v>4</v>
      </c>
      <c r="G1447" t="s">
        <v>69</v>
      </c>
      <c r="H1447">
        <v>3</v>
      </c>
    </row>
    <row r="1448" spans="1:8" x14ac:dyDescent="0.3">
      <c r="A1448" t="s">
        <v>39</v>
      </c>
      <c r="B1448" s="2" t="s">
        <v>2</v>
      </c>
      <c r="G1448" t="s">
        <v>70</v>
      </c>
      <c r="H1448">
        <v>12</v>
      </c>
    </row>
    <row r="1449" spans="1:8" x14ac:dyDescent="0.3">
      <c r="A1449" t="s">
        <v>39</v>
      </c>
      <c r="B1449" s="2" t="s">
        <v>4</v>
      </c>
      <c r="G1449" t="s">
        <v>70</v>
      </c>
      <c r="H1449">
        <v>2</v>
      </c>
    </row>
    <row r="1450" spans="1:8" x14ac:dyDescent="0.3">
      <c r="A1450" t="s">
        <v>39</v>
      </c>
      <c r="B1450" s="2" t="s">
        <v>2</v>
      </c>
      <c r="G1450" t="s">
        <v>84</v>
      </c>
      <c r="H1450">
        <v>13</v>
      </c>
    </row>
    <row r="1451" spans="1:8" x14ac:dyDescent="0.3">
      <c r="A1451" t="s">
        <v>39</v>
      </c>
      <c r="B1451" s="2" t="s">
        <v>2</v>
      </c>
      <c r="G1451" t="s">
        <v>85</v>
      </c>
      <c r="H1451">
        <v>1</v>
      </c>
    </row>
    <row r="1452" spans="1:8" x14ac:dyDescent="0.3">
      <c r="A1452" t="s">
        <v>39</v>
      </c>
      <c r="B1452" s="2" t="s">
        <v>2</v>
      </c>
      <c r="G1452" t="s">
        <v>71</v>
      </c>
      <c r="H1452">
        <v>4</v>
      </c>
    </row>
    <row r="1453" spans="1:8" x14ac:dyDescent="0.3">
      <c r="A1453" t="s">
        <v>39</v>
      </c>
      <c r="B1453" s="2" t="s">
        <v>2</v>
      </c>
      <c r="G1453" t="s">
        <v>72</v>
      </c>
      <c r="H1453">
        <v>1</v>
      </c>
    </row>
    <row r="1454" spans="1:8" x14ac:dyDescent="0.3">
      <c r="A1454" t="s">
        <v>40</v>
      </c>
      <c r="B1454" s="2" t="s">
        <v>2</v>
      </c>
      <c r="C1454" s="4" t="s">
        <v>13</v>
      </c>
      <c r="H1454" s="3">
        <v>81</v>
      </c>
    </row>
    <row r="1455" spans="1:8" x14ac:dyDescent="0.3">
      <c r="A1455" t="s">
        <v>40</v>
      </c>
      <c r="B1455" s="2" t="s">
        <v>4</v>
      </c>
      <c r="C1455" s="4" t="s">
        <v>13</v>
      </c>
      <c r="H1455" s="3">
        <v>151</v>
      </c>
    </row>
    <row r="1456" spans="1:8" x14ac:dyDescent="0.3">
      <c r="A1456" t="s">
        <v>40</v>
      </c>
      <c r="B1456" s="2" t="s">
        <v>2</v>
      </c>
      <c r="C1456" s="4" t="s">
        <v>104</v>
      </c>
      <c r="H1456" s="3">
        <v>108</v>
      </c>
    </row>
    <row r="1457" spans="1:8" x14ac:dyDescent="0.3">
      <c r="A1457" t="s">
        <v>40</v>
      </c>
      <c r="B1457" s="2" t="s">
        <v>4</v>
      </c>
      <c r="C1457" s="4" t="s">
        <v>104</v>
      </c>
      <c r="H1457" s="3">
        <v>79</v>
      </c>
    </row>
    <row r="1458" spans="1:8" x14ac:dyDescent="0.3">
      <c r="A1458" t="s">
        <v>40</v>
      </c>
      <c r="B1458" s="2" t="s">
        <v>2</v>
      </c>
      <c r="C1458" s="4" t="s">
        <v>7</v>
      </c>
      <c r="H1458" s="3">
        <v>1160</v>
      </c>
    </row>
    <row r="1459" spans="1:8" x14ac:dyDescent="0.3">
      <c r="A1459" t="s">
        <v>40</v>
      </c>
      <c r="B1459" s="2" t="s">
        <v>4</v>
      </c>
      <c r="C1459" s="4" t="s">
        <v>7</v>
      </c>
      <c r="H1459" s="3">
        <v>2349</v>
      </c>
    </row>
    <row r="1460" spans="1:8" x14ac:dyDescent="0.3">
      <c r="A1460" t="s">
        <v>40</v>
      </c>
      <c r="B1460" s="2" t="s">
        <v>2</v>
      </c>
      <c r="C1460" s="4" t="s">
        <v>103</v>
      </c>
      <c r="H1460" s="3">
        <v>700</v>
      </c>
    </row>
    <row r="1461" spans="1:8" x14ac:dyDescent="0.3">
      <c r="A1461" t="s">
        <v>40</v>
      </c>
      <c r="B1461" s="2" t="s">
        <v>4</v>
      </c>
      <c r="C1461" s="4" t="s">
        <v>103</v>
      </c>
      <c r="H1461" s="3">
        <v>1411</v>
      </c>
    </row>
    <row r="1462" spans="1:8" x14ac:dyDescent="0.3">
      <c r="A1462" t="s">
        <v>40</v>
      </c>
      <c r="B1462" s="2" t="s">
        <v>2</v>
      </c>
      <c r="C1462" s="4" t="s">
        <v>79</v>
      </c>
      <c r="H1462" s="3">
        <v>30</v>
      </c>
    </row>
    <row r="1463" spans="1:8" x14ac:dyDescent="0.3">
      <c r="A1463" t="s">
        <v>40</v>
      </c>
      <c r="B1463" s="2" t="s">
        <v>2</v>
      </c>
      <c r="C1463" s="4" t="s">
        <v>105</v>
      </c>
      <c r="H1463" s="3">
        <v>71</v>
      </c>
    </row>
    <row r="1464" spans="1:8" x14ac:dyDescent="0.3">
      <c r="A1464" t="s">
        <v>40</v>
      </c>
      <c r="B1464" s="2" t="s">
        <v>4</v>
      </c>
      <c r="D1464" t="s">
        <v>73</v>
      </c>
      <c r="H1464">
        <v>30</v>
      </c>
    </row>
    <row r="1465" spans="1:8" x14ac:dyDescent="0.3">
      <c r="A1465" t="s">
        <v>40</v>
      </c>
      <c r="B1465" s="2" t="s">
        <v>4</v>
      </c>
      <c r="D1465" t="s">
        <v>81</v>
      </c>
      <c r="H1465">
        <v>32</v>
      </c>
    </row>
    <row r="1466" spans="1:8" x14ac:dyDescent="0.3">
      <c r="A1466" t="s">
        <v>40</v>
      </c>
      <c r="B1466" s="2" t="s">
        <v>2</v>
      </c>
      <c r="D1466" t="s">
        <v>9</v>
      </c>
      <c r="H1466">
        <v>18</v>
      </c>
    </row>
    <row r="1467" spans="1:8" x14ac:dyDescent="0.3">
      <c r="A1467" t="s">
        <v>40</v>
      </c>
      <c r="B1467" s="2" t="s">
        <v>4</v>
      </c>
      <c r="D1467" t="s">
        <v>9</v>
      </c>
      <c r="H1467">
        <v>19</v>
      </c>
    </row>
    <row r="1468" spans="1:8" x14ac:dyDescent="0.3">
      <c r="A1468" t="s">
        <v>40</v>
      </c>
      <c r="B1468" s="2" t="s">
        <v>2</v>
      </c>
      <c r="D1468" t="s">
        <v>11</v>
      </c>
      <c r="H1468">
        <v>1154</v>
      </c>
    </row>
    <row r="1469" spans="1:8" x14ac:dyDescent="0.3">
      <c r="A1469" t="s">
        <v>40</v>
      </c>
      <c r="B1469" s="2" t="s">
        <v>4</v>
      </c>
      <c r="D1469" t="s">
        <v>11</v>
      </c>
      <c r="H1469">
        <v>1877</v>
      </c>
    </row>
    <row r="1470" spans="1:8" x14ac:dyDescent="0.3">
      <c r="A1470" t="s">
        <v>40</v>
      </c>
      <c r="B1470" s="2" t="s">
        <v>2</v>
      </c>
      <c r="D1470" t="s">
        <v>14</v>
      </c>
      <c r="H1470">
        <v>25</v>
      </c>
    </row>
    <row r="1471" spans="1:8" x14ac:dyDescent="0.3">
      <c r="A1471" t="s">
        <v>40</v>
      </c>
      <c r="B1471" s="2" t="s">
        <v>4</v>
      </c>
      <c r="D1471" t="s">
        <v>14</v>
      </c>
      <c r="H1471">
        <v>2</v>
      </c>
    </row>
    <row r="1472" spans="1:8" x14ac:dyDescent="0.3">
      <c r="A1472" t="s">
        <v>40</v>
      </c>
      <c r="B1472" s="2" t="s">
        <v>4</v>
      </c>
      <c r="D1472" t="s">
        <v>17</v>
      </c>
      <c r="H1472">
        <v>33</v>
      </c>
    </row>
    <row r="1473" spans="1:8" x14ac:dyDescent="0.3">
      <c r="A1473" t="s">
        <v>40</v>
      </c>
      <c r="B1473" s="2" t="s">
        <v>4</v>
      </c>
      <c r="D1473" t="s">
        <v>16</v>
      </c>
      <c r="H1473">
        <v>34</v>
      </c>
    </row>
    <row r="1474" spans="1:8" x14ac:dyDescent="0.3">
      <c r="A1474" t="s">
        <v>40</v>
      </c>
      <c r="B1474" s="2" t="s">
        <v>2</v>
      </c>
      <c r="D1474" t="s">
        <v>78</v>
      </c>
      <c r="H1474">
        <f>787+166</f>
        <v>953</v>
      </c>
    </row>
    <row r="1475" spans="1:8" x14ac:dyDescent="0.3">
      <c r="A1475" t="s">
        <v>40</v>
      </c>
      <c r="B1475" s="2" t="s">
        <v>4</v>
      </c>
      <c r="D1475" t="s">
        <v>78</v>
      </c>
      <c r="H1475">
        <f>593+1370</f>
        <v>1963</v>
      </c>
    </row>
    <row r="1476" spans="1:8" x14ac:dyDescent="0.3">
      <c r="A1476" t="s">
        <v>40</v>
      </c>
      <c r="B1476" s="2" t="s">
        <v>2</v>
      </c>
      <c r="E1476" t="s">
        <v>21</v>
      </c>
      <c r="H1476">
        <v>26</v>
      </c>
    </row>
    <row r="1477" spans="1:8" x14ac:dyDescent="0.3">
      <c r="A1477" t="s">
        <v>40</v>
      </c>
      <c r="B1477" s="2" t="s">
        <v>4</v>
      </c>
      <c r="E1477" t="s">
        <v>21</v>
      </c>
      <c r="H1477">
        <v>38</v>
      </c>
    </row>
    <row r="1478" spans="1:8" x14ac:dyDescent="0.3">
      <c r="A1478" t="s">
        <v>40</v>
      </c>
      <c r="B1478" s="2" t="s">
        <v>2</v>
      </c>
      <c r="E1478" t="s">
        <v>91</v>
      </c>
      <c r="H1478">
        <f>74+53</f>
        <v>127</v>
      </c>
    </row>
    <row r="1479" spans="1:8" x14ac:dyDescent="0.3">
      <c r="A1479" t="s">
        <v>40</v>
      </c>
      <c r="B1479" s="2" t="s">
        <v>4</v>
      </c>
      <c r="E1479" t="s">
        <v>91</v>
      </c>
      <c r="H1479">
        <f>166+153</f>
        <v>319</v>
      </c>
    </row>
    <row r="1480" spans="1:8" x14ac:dyDescent="0.3">
      <c r="A1480" t="s">
        <v>40</v>
      </c>
      <c r="B1480" s="2" t="s">
        <v>2</v>
      </c>
      <c r="E1480" t="s">
        <v>90</v>
      </c>
      <c r="H1480">
        <v>123</v>
      </c>
    </row>
    <row r="1481" spans="1:8" x14ac:dyDescent="0.3">
      <c r="A1481" t="s">
        <v>40</v>
      </c>
      <c r="B1481" s="2" t="s">
        <v>4</v>
      </c>
      <c r="E1481" t="s">
        <v>90</v>
      </c>
      <c r="H1481">
        <v>179</v>
      </c>
    </row>
    <row r="1482" spans="1:8" x14ac:dyDescent="0.3">
      <c r="A1482" t="s">
        <v>40</v>
      </c>
      <c r="B1482" s="2" t="s">
        <v>2</v>
      </c>
      <c r="E1482" t="s">
        <v>89</v>
      </c>
      <c r="H1482">
        <v>77</v>
      </c>
    </row>
    <row r="1483" spans="1:8" x14ac:dyDescent="0.3">
      <c r="A1483" t="s">
        <v>40</v>
      </c>
      <c r="B1483" s="2" t="s">
        <v>4</v>
      </c>
      <c r="E1483" t="s">
        <v>89</v>
      </c>
      <c r="H1483">
        <v>155</v>
      </c>
    </row>
    <row r="1484" spans="1:8" x14ac:dyDescent="0.3">
      <c r="A1484" t="s">
        <v>40</v>
      </c>
      <c r="B1484" s="2" t="s">
        <v>2</v>
      </c>
      <c r="E1484" t="s">
        <v>60</v>
      </c>
      <c r="H1484">
        <v>7</v>
      </c>
    </row>
    <row r="1485" spans="1:8" x14ac:dyDescent="0.3">
      <c r="A1485" t="s">
        <v>40</v>
      </c>
      <c r="B1485" s="2" t="s">
        <v>4</v>
      </c>
      <c r="E1485" t="s">
        <v>60</v>
      </c>
      <c r="H1485">
        <v>25</v>
      </c>
    </row>
    <row r="1486" spans="1:8" x14ac:dyDescent="0.3">
      <c r="A1486" t="s">
        <v>40</v>
      </c>
      <c r="B1486" s="2" t="s">
        <v>2</v>
      </c>
      <c r="E1486" t="s">
        <v>61</v>
      </c>
      <c r="H1486">
        <v>15</v>
      </c>
    </row>
    <row r="1487" spans="1:8" x14ac:dyDescent="0.3">
      <c r="A1487" t="s">
        <v>40</v>
      </c>
      <c r="B1487" s="2" t="s">
        <v>4</v>
      </c>
      <c r="E1487" t="s">
        <v>61</v>
      </c>
      <c r="H1487">
        <v>56</v>
      </c>
    </row>
    <row r="1488" spans="1:8" x14ac:dyDescent="0.3">
      <c r="A1488" t="s">
        <v>40</v>
      </c>
      <c r="B1488" s="2" t="s">
        <v>2</v>
      </c>
      <c r="E1488" t="s">
        <v>92</v>
      </c>
      <c r="H1488">
        <v>1</v>
      </c>
    </row>
    <row r="1489" spans="1:8" x14ac:dyDescent="0.3">
      <c r="A1489" t="s">
        <v>40</v>
      </c>
      <c r="B1489" s="2" t="s">
        <v>4</v>
      </c>
      <c r="E1489" t="s">
        <v>92</v>
      </c>
      <c r="H1489">
        <v>2</v>
      </c>
    </row>
    <row r="1490" spans="1:8" x14ac:dyDescent="0.3">
      <c r="A1490" t="s">
        <v>40</v>
      </c>
      <c r="B1490" s="2" t="s">
        <v>2</v>
      </c>
      <c r="E1490" t="s">
        <v>62</v>
      </c>
      <c r="H1490">
        <v>1774</v>
      </c>
    </row>
    <row r="1491" spans="1:8" x14ac:dyDescent="0.3">
      <c r="A1491" t="s">
        <v>40</v>
      </c>
      <c r="B1491" s="2" t="s">
        <v>4</v>
      </c>
      <c r="E1491" t="s">
        <v>62</v>
      </c>
      <c r="H1491">
        <v>3216</v>
      </c>
    </row>
    <row r="1492" spans="1:8" x14ac:dyDescent="0.3">
      <c r="A1492" t="s">
        <v>40</v>
      </c>
      <c r="B1492" s="2" t="s">
        <v>2</v>
      </c>
      <c r="F1492" t="s">
        <v>64</v>
      </c>
      <c r="H1492">
        <v>439</v>
      </c>
    </row>
    <row r="1493" spans="1:8" x14ac:dyDescent="0.3">
      <c r="A1493" t="s">
        <v>40</v>
      </c>
      <c r="B1493" s="2" t="s">
        <v>4</v>
      </c>
      <c r="F1493" t="s">
        <v>64</v>
      </c>
      <c r="H1493">
        <v>384</v>
      </c>
    </row>
    <row r="1494" spans="1:8" x14ac:dyDescent="0.3">
      <c r="A1494" t="s">
        <v>40</v>
      </c>
      <c r="B1494" s="2" t="s">
        <v>2</v>
      </c>
      <c r="F1494" t="s">
        <v>18</v>
      </c>
      <c r="H1494">
        <v>607</v>
      </c>
    </row>
    <row r="1495" spans="1:8" x14ac:dyDescent="0.3">
      <c r="A1495" t="s">
        <v>40</v>
      </c>
      <c r="B1495" s="2" t="s">
        <v>4</v>
      </c>
      <c r="F1495" t="s">
        <v>18</v>
      </c>
      <c r="H1495">
        <v>2312</v>
      </c>
    </row>
    <row r="1496" spans="1:8" x14ac:dyDescent="0.3">
      <c r="A1496" t="s">
        <v>40</v>
      </c>
      <c r="B1496" s="2" t="s">
        <v>4</v>
      </c>
      <c r="F1496" t="s">
        <v>19</v>
      </c>
      <c r="H1496">
        <v>15</v>
      </c>
    </row>
    <row r="1497" spans="1:8" x14ac:dyDescent="0.3">
      <c r="A1497" t="s">
        <v>40</v>
      </c>
      <c r="B1497" s="2" t="s">
        <v>4</v>
      </c>
      <c r="F1497" t="s">
        <v>20</v>
      </c>
      <c r="H1497">
        <v>1</v>
      </c>
    </row>
    <row r="1498" spans="1:8" x14ac:dyDescent="0.3">
      <c r="A1498" t="s">
        <v>40</v>
      </c>
      <c r="B1498" s="2" t="s">
        <v>4</v>
      </c>
      <c r="F1498" t="s">
        <v>65</v>
      </c>
      <c r="H1498">
        <v>6</v>
      </c>
    </row>
    <row r="1499" spans="1:8" x14ac:dyDescent="0.3">
      <c r="A1499" t="s">
        <v>40</v>
      </c>
      <c r="B1499" s="2" t="s">
        <v>2</v>
      </c>
      <c r="F1499" t="s">
        <v>66</v>
      </c>
      <c r="H1499">
        <f>168+936</f>
        <v>1104</v>
      </c>
    </row>
    <row r="1500" spans="1:8" x14ac:dyDescent="0.3">
      <c r="A1500" t="s">
        <v>40</v>
      </c>
      <c r="B1500" s="2" t="s">
        <v>4</v>
      </c>
      <c r="F1500" t="s">
        <v>66</v>
      </c>
      <c r="H1500">
        <f>283+989</f>
        <v>1272</v>
      </c>
    </row>
    <row r="1501" spans="1:8" x14ac:dyDescent="0.3">
      <c r="A1501" t="s">
        <v>40</v>
      </c>
      <c r="B1501" s="2" t="s">
        <v>4</v>
      </c>
      <c r="G1501" t="s">
        <v>68</v>
      </c>
      <c r="H1501">
        <v>2691</v>
      </c>
    </row>
    <row r="1502" spans="1:8" x14ac:dyDescent="0.3">
      <c r="A1502" t="s">
        <v>40</v>
      </c>
      <c r="B1502" s="2" t="s">
        <v>2</v>
      </c>
      <c r="G1502" t="s">
        <v>82</v>
      </c>
      <c r="H1502">
        <v>42</v>
      </c>
    </row>
    <row r="1503" spans="1:8" x14ac:dyDescent="0.3">
      <c r="A1503" t="s">
        <v>40</v>
      </c>
      <c r="B1503" s="2" t="s">
        <v>4</v>
      </c>
      <c r="G1503" t="s">
        <v>82</v>
      </c>
      <c r="H1503">
        <v>11</v>
      </c>
    </row>
    <row r="1504" spans="1:8" x14ac:dyDescent="0.3">
      <c r="A1504" t="s">
        <v>40</v>
      </c>
      <c r="B1504" s="2" t="s">
        <v>2</v>
      </c>
      <c r="G1504" t="s">
        <v>83</v>
      </c>
      <c r="H1504">
        <v>90</v>
      </c>
    </row>
    <row r="1505" spans="1:8" x14ac:dyDescent="0.3">
      <c r="A1505" t="s">
        <v>40</v>
      </c>
      <c r="B1505" s="2" t="s">
        <v>4</v>
      </c>
      <c r="G1505" t="s">
        <v>83</v>
      </c>
      <c r="H1505">
        <v>56</v>
      </c>
    </row>
    <row r="1506" spans="1:8" x14ac:dyDescent="0.3">
      <c r="A1506" t="s">
        <v>40</v>
      </c>
      <c r="B1506" s="2" t="s">
        <v>2</v>
      </c>
      <c r="G1506" t="s">
        <v>69</v>
      </c>
      <c r="H1506">
        <v>50</v>
      </c>
    </row>
    <row r="1507" spans="1:8" x14ac:dyDescent="0.3">
      <c r="A1507" t="s">
        <v>40</v>
      </c>
      <c r="B1507" s="2" t="s">
        <v>4</v>
      </c>
      <c r="G1507" t="s">
        <v>69</v>
      </c>
      <c r="H1507">
        <v>56</v>
      </c>
    </row>
    <row r="1508" spans="1:8" x14ac:dyDescent="0.3">
      <c r="A1508" t="s">
        <v>40</v>
      </c>
      <c r="B1508" s="2" t="s">
        <v>2</v>
      </c>
      <c r="G1508" t="s">
        <v>70</v>
      </c>
      <c r="H1508">
        <v>527</v>
      </c>
    </row>
    <row r="1509" spans="1:8" x14ac:dyDescent="0.3">
      <c r="A1509" t="s">
        <v>40</v>
      </c>
      <c r="B1509" s="2" t="s">
        <v>4</v>
      </c>
      <c r="G1509" t="s">
        <v>70</v>
      </c>
      <c r="H1509">
        <v>88</v>
      </c>
    </row>
    <row r="1510" spans="1:8" x14ac:dyDescent="0.3">
      <c r="A1510" t="s">
        <v>40</v>
      </c>
      <c r="B1510" s="2" t="s">
        <v>2</v>
      </c>
      <c r="G1510" t="s">
        <v>84</v>
      </c>
      <c r="H1510">
        <v>329</v>
      </c>
    </row>
    <row r="1511" spans="1:8" x14ac:dyDescent="0.3">
      <c r="A1511" t="s">
        <v>40</v>
      </c>
      <c r="B1511" s="2" t="s">
        <v>4</v>
      </c>
      <c r="G1511" t="s">
        <v>84</v>
      </c>
      <c r="H1511">
        <v>30</v>
      </c>
    </row>
    <row r="1512" spans="1:8" x14ac:dyDescent="0.3">
      <c r="A1512" t="s">
        <v>40</v>
      </c>
      <c r="B1512" s="2" t="s">
        <v>2</v>
      </c>
      <c r="G1512" t="s">
        <v>72</v>
      </c>
      <c r="H1512">
        <v>1112</v>
      </c>
    </row>
    <row r="1513" spans="1:8" x14ac:dyDescent="0.3">
      <c r="A1513" t="s">
        <v>40</v>
      </c>
      <c r="B1513" s="2" t="s">
        <v>4</v>
      </c>
      <c r="G1513" t="s">
        <v>72</v>
      </c>
      <c r="H1513">
        <v>1058</v>
      </c>
    </row>
    <row r="1514" spans="1:8" x14ac:dyDescent="0.3">
      <c r="A1514" t="s">
        <v>41</v>
      </c>
      <c r="B1514" s="2" t="s">
        <v>2</v>
      </c>
      <c r="C1514" s="4" t="s">
        <v>13</v>
      </c>
      <c r="H1514" s="3">
        <v>158</v>
      </c>
    </row>
    <row r="1515" spans="1:8" x14ac:dyDescent="0.3">
      <c r="A1515" t="s">
        <v>41</v>
      </c>
      <c r="B1515" s="2" t="s">
        <v>4</v>
      </c>
      <c r="C1515" s="4" t="s">
        <v>13</v>
      </c>
      <c r="H1515" s="3">
        <v>42</v>
      </c>
    </row>
    <row r="1516" spans="1:8" x14ac:dyDescent="0.3">
      <c r="A1516" t="s">
        <v>41</v>
      </c>
      <c r="B1516" s="2" t="s">
        <v>2</v>
      </c>
      <c r="C1516" s="4" t="s">
        <v>104</v>
      </c>
      <c r="H1516" s="3">
        <v>44</v>
      </c>
    </row>
    <row r="1517" spans="1:8" x14ac:dyDescent="0.3">
      <c r="A1517" t="s">
        <v>41</v>
      </c>
      <c r="B1517" s="2" t="s">
        <v>4</v>
      </c>
      <c r="C1517" s="4" t="s">
        <v>104</v>
      </c>
      <c r="H1517" s="3">
        <v>4</v>
      </c>
    </row>
    <row r="1518" spans="1:8" x14ac:dyDescent="0.3">
      <c r="A1518" t="s">
        <v>41</v>
      </c>
      <c r="B1518" s="2" t="s">
        <v>2</v>
      </c>
      <c r="C1518" s="4" t="s">
        <v>7</v>
      </c>
      <c r="H1518" s="3">
        <v>1247</v>
      </c>
    </row>
    <row r="1519" spans="1:8" x14ac:dyDescent="0.3">
      <c r="A1519" t="s">
        <v>41</v>
      </c>
      <c r="B1519" s="2" t="s">
        <v>4</v>
      </c>
      <c r="C1519" s="4" t="s">
        <v>7</v>
      </c>
      <c r="H1519" s="3">
        <v>318</v>
      </c>
    </row>
    <row r="1520" spans="1:8" x14ac:dyDescent="0.3">
      <c r="A1520" t="s">
        <v>41</v>
      </c>
      <c r="B1520" s="2" t="s">
        <v>2</v>
      </c>
      <c r="C1520" s="4" t="s">
        <v>103</v>
      </c>
      <c r="H1520" s="3">
        <v>331</v>
      </c>
    </row>
    <row r="1521" spans="1:8" x14ac:dyDescent="0.3">
      <c r="A1521" t="s">
        <v>41</v>
      </c>
      <c r="B1521" s="2" t="s">
        <v>4</v>
      </c>
      <c r="C1521" s="4" t="s">
        <v>103</v>
      </c>
      <c r="H1521" s="3">
        <v>122</v>
      </c>
    </row>
    <row r="1522" spans="1:8" x14ac:dyDescent="0.3">
      <c r="A1522" t="s">
        <v>41</v>
      </c>
      <c r="B1522" s="2" t="s">
        <v>56</v>
      </c>
      <c r="C1522" s="4" t="s">
        <v>103</v>
      </c>
      <c r="H1522" s="3">
        <v>1</v>
      </c>
    </row>
    <row r="1523" spans="1:8" x14ac:dyDescent="0.3">
      <c r="A1523" t="s">
        <v>41</v>
      </c>
      <c r="B1523" s="2" t="s">
        <v>2</v>
      </c>
      <c r="C1523" s="4" t="s">
        <v>79</v>
      </c>
      <c r="H1523" s="3">
        <v>2</v>
      </c>
    </row>
    <row r="1524" spans="1:8" x14ac:dyDescent="0.3">
      <c r="A1524" t="s">
        <v>41</v>
      </c>
      <c r="B1524" s="2" t="s">
        <v>4</v>
      </c>
      <c r="C1524" s="4" t="s">
        <v>79</v>
      </c>
      <c r="H1524" s="3">
        <v>5</v>
      </c>
    </row>
    <row r="1525" spans="1:8" x14ac:dyDescent="0.3">
      <c r="A1525" t="s">
        <v>41</v>
      </c>
      <c r="B1525" s="2" t="s">
        <v>2</v>
      </c>
      <c r="C1525" s="4" t="s">
        <v>105</v>
      </c>
      <c r="H1525" s="3">
        <f>138+7</f>
        <v>145</v>
      </c>
    </row>
    <row r="1526" spans="1:8" x14ac:dyDescent="0.3">
      <c r="A1526" t="s">
        <v>41</v>
      </c>
      <c r="B1526" s="2" t="s">
        <v>4</v>
      </c>
      <c r="C1526" s="4" t="s">
        <v>105</v>
      </c>
      <c r="H1526" s="3">
        <v>19</v>
      </c>
    </row>
    <row r="1527" spans="1:8" x14ac:dyDescent="0.3">
      <c r="A1527" t="s">
        <v>41</v>
      </c>
      <c r="B1527" s="2" t="s">
        <v>2</v>
      </c>
      <c r="C1527" s="4" t="s">
        <v>58</v>
      </c>
      <c r="H1527" s="3">
        <v>1</v>
      </c>
    </row>
    <row r="1528" spans="1:8" x14ac:dyDescent="0.3">
      <c r="A1528" t="s">
        <v>41</v>
      </c>
      <c r="B1528" s="2" t="s">
        <v>2</v>
      </c>
      <c r="C1528" s="4" t="s">
        <v>59</v>
      </c>
      <c r="H1528" s="3">
        <v>1</v>
      </c>
    </row>
    <row r="1529" spans="1:8" x14ac:dyDescent="0.3">
      <c r="A1529" t="s">
        <v>41</v>
      </c>
      <c r="B1529" s="2" t="s">
        <v>4</v>
      </c>
      <c r="C1529" s="4" t="s">
        <v>59</v>
      </c>
      <c r="H1529" s="3">
        <v>1</v>
      </c>
    </row>
    <row r="1530" spans="1:8" x14ac:dyDescent="0.3">
      <c r="A1530" t="s">
        <v>41</v>
      </c>
      <c r="B1530" s="2" t="s">
        <v>2</v>
      </c>
      <c r="D1530" t="s">
        <v>81</v>
      </c>
      <c r="H1530">
        <v>67</v>
      </c>
    </row>
    <row r="1531" spans="1:8" x14ac:dyDescent="0.3">
      <c r="A1531" t="s">
        <v>41</v>
      </c>
      <c r="B1531" s="2" t="s">
        <v>4</v>
      </c>
      <c r="D1531" t="s">
        <v>81</v>
      </c>
      <c r="H1531">
        <v>66</v>
      </c>
    </row>
    <row r="1532" spans="1:8" x14ac:dyDescent="0.3">
      <c r="A1532" t="s">
        <v>41</v>
      </c>
      <c r="B1532" s="2" t="s">
        <v>2</v>
      </c>
      <c r="D1532" t="s">
        <v>73</v>
      </c>
      <c r="H1532">
        <v>2</v>
      </c>
    </row>
    <row r="1533" spans="1:8" x14ac:dyDescent="0.3">
      <c r="A1533" t="s">
        <v>41</v>
      </c>
      <c r="B1533" s="2" t="s">
        <v>4</v>
      </c>
      <c r="D1533" t="s">
        <v>73</v>
      </c>
      <c r="H1533">
        <v>11</v>
      </c>
    </row>
    <row r="1534" spans="1:8" x14ac:dyDescent="0.3">
      <c r="A1534" t="s">
        <v>41</v>
      </c>
      <c r="B1534" s="2" t="s">
        <v>2</v>
      </c>
      <c r="D1534" t="s">
        <v>74</v>
      </c>
      <c r="H1534">
        <v>18</v>
      </c>
    </row>
    <row r="1535" spans="1:8" x14ac:dyDescent="0.3">
      <c r="A1535" t="s">
        <v>41</v>
      </c>
      <c r="B1535" s="2" t="s">
        <v>4</v>
      </c>
      <c r="D1535" t="s">
        <v>74</v>
      </c>
      <c r="H1535">
        <v>8</v>
      </c>
    </row>
    <row r="1536" spans="1:8" x14ac:dyDescent="0.3">
      <c r="A1536" t="s">
        <v>41</v>
      </c>
      <c r="B1536" s="2" t="s">
        <v>2</v>
      </c>
      <c r="D1536" t="s">
        <v>3</v>
      </c>
      <c r="H1536">
        <v>3</v>
      </c>
    </row>
    <row r="1537" spans="1:8" x14ac:dyDescent="0.3">
      <c r="A1537" t="s">
        <v>41</v>
      </c>
      <c r="B1537" s="2" t="s">
        <v>4</v>
      </c>
      <c r="D1537" t="s">
        <v>3</v>
      </c>
      <c r="H1537">
        <v>3</v>
      </c>
    </row>
    <row r="1538" spans="1:8" x14ac:dyDescent="0.3">
      <c r="A1538" t="s">
        <v>41</v>
      </c>
      <c r="B1538" s="2" t="s">
        <v>2</v>
      </c>
      <c r="D1538" t="s">
        <v>9</v>
      </c>
      <c r="H1538">
        <v>4</v>
      </c>
    </row>
    <row r="1539" spans="1:8" x14ac:dyDescent="0.3">
      <c r="A1539" t="s">
        <v>41</v>
      </c>
      <c r="B1539" s="2" t="s">
        <v>4</v>
      </c>
      <c r="D1539" t="s">
        <v>9</v>
      </c>
      <c r="H1539">
        <v>10</v>
      </c>
    </row>
    <row r="1540" spans="1:8" x14ac:dyDescent="0.3">
      <c r="A1540" t="s">
        <v>41</v>
      </c>
      <c r="B1540" s="2" t="s">
        <v>2</v>
      </c>
      <c r="D1540" t="s">
        <v>75</v>
      </c>
      <c r="H1540">
        <v>2</v>
      </c>
    </row>
    <row r="1541" spans="1:8" x14ac:dyDescent="0.3">
      <c r="A1541" t="s">
        <v>41</v>
      </c>
      <c r="B1541" s="2" t="s">
        <v>4</v>
      </c>
      <c r="D1541" t="s">
        <v>75</v>
      </c>
      <c r="H1541">
        <v>2</v>
      </c>
    </row>
    <row r="1542" spans="1:8" x14ac:dyDescent="0.3">
      <c r="A1542" t="s">
        <v>41</v>
      </c>
      <c r="B1542" s="2" t="s">
        <v>2</v>
      </c>
      <c r="D1542" t="s">
        <v>11</v>
      </c>
      <c r="H1542">
        <v>273</v>
      </c>
    </row>
    <row r="1543" spans="1:8" x14ac:dyDescent="0.3">
      <c r="A1543" t="s">
        <v>41</v>
      </c>
      <c r="B1543" s="2" t="s">
        <v>4</v>
      </c>
      <c r="D1543" t="s">
        <v>11</v>
      </c>
      <c r="H1543">
        <v>133</v>
      </c>
    </row>
    <row r="1544" spans="1:8" x14ac:dyDescent="0.3">
      <c r="A1544" t="s">
        <v>41</v>
      </c>
      <c r="B1544" s="2" t="s">
        <v>2</v>
      </c>
      <c r="D1544" t="s">
        <v>80</v>
      </c>
      <c r="H1544">
        <v>905</v>
      </c>
    </row>
    <row r="1545" spans="1:8" x14ac:dyDescent="0.3">
      <c r="A1545" t="s">
        <v>41</v>
      </c>
      <c r="B1545" s="2" t="s">
        <v>4</v>
      </c>
      <c r="D1545" t="s">
        <v>80</v>
      </c>
      <c r="H1545">
        <v>191</v>
      </c>
    </row>
    <row r="1546" spans="1:8" x14ac:dyDescent="0.3">
      <c r="A1546" t="s">
        <v>41</v>
      </c>
      <c r="B1546" s="2" t="s">
        <v>2</v>
      </c>
      <c r="D1546" t="s">
        <v>8</v>
      </c>
      <c r="H1546">
        <v>17</v>
      </c>
    </row>
    <row r="1547" spans="1:8" x14ac:dyDescent="0.3">
      <c r="A1547" t="s">
        <v>41</v>
      </c>
      <c r="B1547" s="2" t="s">
        <v>4</v>
      </c>
      <c r="D1547" t="s">
        <v>8</v>
      </c>
      <c r="H1547">
        <v>5</v>
      </c>
    </row>
    <row r="1548" spans="1:8" x14ac:dyDescent="0.3">
      <c r="A1548" t="s">
        <v>41</v>
      </c>
      <c r="B1548" s="2" t="s">
        <v>2</v>
      </c>
      <c r="D1548" t="s">
        <v>76</v>
      </c>
      <c r="H1548">
        <v>54</v>
      </c>
    </row>
    <row r="1549" spans="1:8" x14ac:dyDescent="0.3">
      <c r="A1549" t="s">
        <v>41</v>
      </c>
      <c r="B1549" s="2" t="s">
        <v>2</v>
      </c>
      <c r="D1549" t="s">
        <v>10</v>
      </c>
      <c r="H1549">
        <v>41</v>
      </c>
    </row>
    <row r="1550" spans="1:8" x14ac:dyDescent="0.3">
      <c r="A1550" t="s">
        <v>41</v>
      </c>
      <c r="B1550" s="2" t="s">
        <v>4</v>
      </c>
      <c r="D1550" t="s">
        <v>10</v>
      </c>
      <c r="H1550">
        <v>8</v>
      </c>
    </row>
    <row r="1551" spans="1:8" x14ac:dyDescent="0.3">
      <c r="A1551" t="s">
        <v>41</v>
      </c>
      <c r="B1551" s="2" t="s">
        <v>2</v>
      </c>
      <c r="D1551" t="s">
        <v>5</v>
      </c>
      <c r="H1551">
        <v>1</v>
      </c>
    </row>
    <row r="1552" spans="1:8" x14ac:dyDescent="0.3">
      <c r="A1552" t="s">
        <v>41</v>
      </c>
      <c r="B1552" s="2" t="s">
        <v>2</v>
      </c>
      <c r="D1552" t="s">
        <v>14</v>
      </c>
      <c r="H1552">
        <v>53</v>
      </c>
    </row>
    <row r="1553" spans="1:8" x14ac:dyDescent="0.3">
      <c r="A1553" t="s">
        <v>41</v>
      </c>
      <c r="B1553" s="2" t="s">
        <v>4</v>
      </c>
      <c r="D1553" t="s">
        <v>14</v>
      </c>
      <c r="H1553">
        <v>25</v>
      </c>
    </row>
    <row r="1554" spans="1:8" x14ac:dyDescent="0.3">
      <c r="A1554" t="s">
        <v>41</v>
      </c>
      <c r="B1554" s="2" t="s">
        <v>2</v>
      </c>
      <c r="D1554" t="s">
        <v>15</v>
      </c>
      <c r="H1554">
        <v>128</v>
      </c>
    </row>
    <row r="1555" spans="1:8" x14ac:dyDescent="0.3">
      <c r="A1555" t="s">
        <v>41</v>
      </c>
      <c r="B1555" s="2" t="s">
        <v>4</v>
      </c>
      <c r="D1555" t="s">
        <v>15</v>
      </c>
      <c r="H1555">
        <v>17</v>
      </c>
    </row>
    <row r="1556" spans="1:8" x14ac:dyDescent="0.3">
      <c r="A1556" t="s">
        <v>41</v>
      </c>
      <c r="B1556" s="2" t="s">
        <v>2</v>
      </c>
      <c r="D1556" t="s">
        <v>17</v>
      </c>
      <c r="H1556">
        <v>71</v>
      </c>
    </row>
    <row r="1557" spans="1:8" x14ac:dyDescent="0.3">
      <c r="A1557" t="s">
        <v>41</v>
      </c>
      <c r="B1557" s="2" t="s">
        <v>4</v>
      </c>
      <c r="D1557" t="s">
        <v>17</v>
      </c>
      <c r="H1557">
        <v>8</v>
      </c>
    </row>
    <row r="1558" spans="1:8" x14ac:dyDescent="0.3">
      <c r="A1558" t="s">
        <v>41</v>
      </c>
      <c r="B1558" s="2" t="s">
        <v>2</v>
      </c>
      <c r="D1558" t="s">
        <v>6</v>
      </c>
      <c r="H1558">
        <v>58</v>
      </c>
    </row>
    <row r="1559" spans="1:8" x14ac:dyDescent="0.3">
      <c r="A1559" t="s">
        <v>41</v>
      </c>
      <c r="B1559" s="2" t="s">
        <v>4</v>
      </c>
      <c r="D1559" t="s">
        <v>6</v>
      </c>
      <c r="H1559">
        <v>7</v>
      </c>
    </row>
    <row r="1560" spans="1:8" x14ac:dyDescent="0.3">
      <c r="A1560" t="s">
        <v>41</v>
      </c>
      <c r="B1560" s="2" t="s">
        <v>4</v>
      </c>
      <c r="D1560" t="s">
        <v>77</v>
      </c>
      <c r="H1560">
        <v>2</v>
      </c>
    </row>
    <row r="1561" spans="1:8" x14ac:dyDescent="0.3">
      <c r="A1561" t="s">
        <v>41</v>
      </c>
      <c r="B1561" s="2" t="s">
        <v>2</v>
      </c>
      <c r="D1561" t="s">
        <v>16</v>
      </c>
      <c r="H1561">
        <v>143</v>
      </c>
    </row>
    <row r="1562" spans="1:8" x14ac:dyDescent="0.3">
      <c r="A1562" t="s">
        <v>41</v>
      </c>
      <c r="B1562" s="2" t="s">
        <v>4</v>
      </c>
      <c r="D1562" t="s">
        <v>16</v>
      </c>
      <c r="H1562">
        <v>6</v>
      </c>
    </row>
    <row r="1563" spans="1:8" x14ac:dyDescent="0.3">
      <c r="A1563" t="s">
        <v>41</v>
      </c>
      <c r="B1563" s="2" t="s">
        <v>2</v>
      </c>
      <c r="D1563" t="s">
        <v>78</v>
      </c>
      <c r="H1563">
        <v>89</v>
      </c>
    </row>
    <row r="1564" spans="1:8" x14ac:dyDescent="0.3">
      <c r="A1564" t="s">
        <v>41</v>
      </c>
      <c r="B1564" s="2" t="s">
        <v>4</v>
      </c>
      <c r="D1564" t="s">
        <v>78</v>
      </c>
      <c r="H1564">
        <v>9</v>
      </c>
    </row>
    <row r="1565" spans="1:8" x14ac:dyDescent="0.3">
      <c r="A1565" t="s">
        <v>41</v>
      </c>
      <c r="B1565" s="2" t="s">
        <v>56</v>
      </c>
      <c r="D1565" t="s">
        <v>78</v>
      </c>
      <c r="H1565">
        <v>1</v>
      </c>
    </row>
    <row r="1566" spans="1:8" x14ac:dyDescent="0.3">
      <c r="A1566" t="s">
        <v>41</v>
      </c>
      <c r="B1566" s="2" t="s">
        <v>2</v>
      </c>
      <c r="E1566" t="s">
        <v>21</v>
      </c>
      <c r="H1566">
        <v>349</v>
      </c>
    </row>
    <row r="1567" spans="1:8" x14ac:dyDescent="0.3">
      <c r="A1567" t="s">
        <v>41</v>
      </c>
      <c r="B1567" s="2" t="s">
        <v>4</v>
      </c>
      <c r="E1567" t="s">
        <v>21</v>
      </c>
      <c r="H1567">
        <v>83</v>
      </c>
    </row>
    <row r="1568" spans="1:8" x14ac:dyDescent="0.3">
      <c r="A1568" t="s">
        <v>41</v>
      </c>
      <c r="B1568" s="2" t="s">
        <v>56</v>
      </c>
      <c r="E1568" t="s">
        <v>91</v>
      </c>
      <c r="H1568">
        <v>1</v>
      </c>
    </row>
    <row r="1569" spans="1:8" x14ac:dyDescent="0.3">
      <c r="A1569" t="s">
        <v>41</v>
      </c>
      <c r="B1569" s="2" t="s">
        <v>2</v>
      </c>
      <c r="E1569" t="s">
        <v>91</v>
      </c>
      <c r="H1569">
        <f>357+270</f>
        <v>627</v>
      </c>
    </row>
    <row r="1570" spans="1:8" x14ac:dyDescent="0.3">
      <c r="A1570" t="s">
        <v>41</v>
      </c>
      <c r="B1570" s="2" t="s">
        <v>4</v>
      </c>
      <c r="E1570" t="s">
        <v>91</v>
      </c>
      <c r="H1570">
        <f>83+53</f>
        <v>136</v>
      </c>
    </row>
    <row r="1571" spans="1:8" x14ac:dyDescent="0.3">
      <c r="A1571" t="s">
        <v>41</v>
      </c>
      <c r="B1571" s="2" t="s">
        <v>2</v>
      </c>
      <c r="E1571" t="s">
        <v>90</v>
      </c>
      <c r="H1571">
        <v>501</v>
      </c>
    </row>
    <row r="1572" spans="1:8" x14ac:dyDescent="0.3">
      <c r="A1572" t="s">
        <v>41</v>
      </c>
      <c r="B1572" s="2" t="s">
        <v>4</v>
      </c>
      <c r="E1572" t="s">
        <v>90</v>
      </c>
      <c r="H1572">
        <v>144</v>
      </c>
    </row>
    <row r="1573" spans="1:8" x14ac:dyDescent="0.3">
      <c r="A1573" t="s">
        <v>41</v>
      </c>
      <c r="B1573" s="2" t="s">
        <v>2</v>
      </c>
      <c r="E1573" t="s">
        <v>89</v>
      </c>
      <c r="H1573">
        <v>292</v>
      </c>
    </row>
    <row r="1574" spans="1:8" x14ac:dyDescent="0.3">
      <c r="A1574" t="s">
        <v>41</v>
      </c>
      <c r="B1574" s="2" t="s">
        <v>4</v>
      </c>
      <c r="E1574" t="s">
        <v>89</v>
      </c>
      <c r="H1574">
        <v>105</v>
      </c>
    </row>
    <row r="1575" spans="1:8" x14ac:dyDescent="0.3">
      <c r="A1575" t="s">
        <v>41</v>
      </c>
      <c r="B1575" s="2" t="s">
        <v>2</v>
      </c>
      <c r="E1575" t="s">
        <v>60</v>
      </c>
      <c r="H1575">
        <v>21</v>
      </c>
    </row>
    <row r="1576" spans="1:8" x14ac:dyDescent="0.3">
      <c r="A1576" t="s">
        <v>41</v>
      </c>
      <c r="B1576" s="2" t="s">
        <v>4</v>
      </c>
      <c r="E1576" t="s">
        <v>60</v>
      </c>
      <c r="H1576">
        <v>12</v>
      </c>
    </row>
    <row r="1577" spans="1:8" x14ac:dyDescent="0.3">
      <c r="A1577" t="s">
        <v>41</v>
      </c>
      <c r="B1577" s="2" t="s">
        <v>2</v>
      </c>
      <c r="E1577" t="s">
        <v>61</v>
      </c>
      <c r="H1577">
        <v>74</v>
      </c>
    </row>
    <row r="1578" spans="1:8" x14ac:dyDescent="0.3">
      <c r="A1578" t="s">
        <v>41</v>
      </c>
      <c r="B1578" s="2" t="s">
        <v>4</v>
      </c>
      <c r="E1578" t="s">
        <v>61</v>
      </c>
      <c r="H1578">
        <v>29</v>
      </c>
    </row>
    <row r="1579" spans="1:8" x14ac:dyDescent="0.3">
      <c r="A1579" t="s">
        <v>41</v>
      </c>
      <c r="B1579" s="2" t="s">
        <v>2</v>
      </c>
      <c r="E1579" t="s">
        <v>92</v>
      </c>
      <c r="H1579">
        <v>10</v>
      </c>
    </row>
    <row r="1580" spans="1:8" x14ac:dyDescent="0.3">
      <c r="A1580" t="s">
        <v>41</v>
      </c>
      <c r="B1580" s="2" t="s">
        <v>4</v>
      </c>
      <c r="E1580" t="s">
        <v>92</v>
      </c>
      <c r="H1580">
        <v>2</v>
      </c>
    </row>
    <row r="1581" spans="1:8" x14ac:dyDescent="0.3">
      <c r="A1581" t="s">
        <v>41</v>
      </c>
      <c r="B1581" s="2" t="s">
        <v>2</v>
      </c>
      <c r="E1581" t="s">
        <v>62</v>
      </c>
      <c r="H1581">
        <v>55</v>
      </c>
    </row>
    <row r="1582" spans="1:8" x14ac:dyDescent="0.3">
      <c r="A1582" t="s">
        <v>41</v>
      </c>
      <c r="B1582" s="2" t="s">
        <v>2</v>
      </c>
      <c r="F1582" t="s">
        <v>64</v>
      </c>
      <c r="H1582">
        <v>600</v>
      </c>
    </row>
    <row r="1583" spans="1:8" x14ac:dyDescent="0.3">
      <c r="A1583" t="s">
        <v>41</v>
      </c>
      <c r="B1583" s="2" t="s">
        <v>4</v>
      </c>
      <c r="F1583" t="s">
        <v>64</v>
      </c>
      <c r="H1583">
        <v>137</v>
      </c>
    </row>
    <row r="1584" spans="1:8" x14ac:dyDescent="0.3">
      <c r="A1584" t="s">
        <v>41</v>
      </c>
      <c r="B1584" s="2" t="s">
        <v>56</v>
      </c>
      <c r="F1584" t="s">
        <v>64</v>
      </c>
      <c r="H1584">
        <v>1</v>
      </c>
    </row>
    <row r="1585" spans="1:8" x14ac:dyDescent="0.3">
      <c r="A1585" t="s">
        <v>41</v>
      </c>
      <c r="B1585" s="2" t="s">
        <v>2</v>
      </c>
      <c r="F1585" t="s">
        <v>18</v>
      </c>
      <c r="H1585">
        <v>1251</v>
      </c>
    </row>
    <row r="1586" spans="1:8" x14ac:dyDescent="0.3">
      <c r="A1586" t="s">
        <v>41</v>
      </c>
      <c r="B1586" s="2" t="s">
        <v>4</v>
      </c>
      <c r="F1586" t="s">
        <v>18</v>
      </c>
      <c r="H1586">
        <v>367</v>
      </c>
    </row>
    <row r="1587" spans="1:8" x14ac:dyDescent="0.3">
      <c r="A1587" t="s">
        <v>41</v>
      </c>
      <c r="B1587" s="2" t="s">
        <v>2</v>
      </c>
      <c r="F1587" t="s">
        <v>19</v>
      </c>
      <c r="H1587">
        <v>3</v>
      </c>
    </row>
    <row r="1588" spans="1:8" x14ac:dyDescent="0.3">
      <c r="A1588" t="s">
        <v>41</v>
      </c>
      <c r="B1588" s="2" t="s">
        <v>4</v>
      </c>
      <c r="F1588" t="s">
        <v>19</v>
      </c>
      <c r="H1588">
        <v>1</v>
      </c>
    </row>
    <row r="1589" spans="1:8" x14ac:dyDescent="0.3">
      <c r="A1589" t="s">
        <v>41</v>
      </c>
      <c r="B1589" s="2" t="s">
        <v>2</v>
      </c>
      <c r="F1589" t="s">
        <v>20</v>
      </c>
      <c r="H1589">
        <v>13</v>
      </c>
    </row>
    <row r="1590" spans="1:8" x14ac:dyDescent="0.3">
      <c r="A1590" t="s">
        <v>41</v>
      </c>
      <c r="B1590" s="2" t="s">
        <v>4</v>
      </c>
      <c r="F1590" t="s">
        <v>20</v>
      </c>
      <c r="H1590">
        <v>1</v>
      </c>
    </row>
    <row r="1591" spans="1:8" x14ac:dyDescent="0.3">
      <c r="A1591" t="s">
        <v>41</v>
      </c>
      <c r="B1591" s="2" t="s">
        <v>2</v>
      </c>
      <c r="F1591" t="s">
        <v>65</v>
      </c>
      <c r="H1591">
        <v>5</v>
      </c>
    </row>
    <row r="1592" spans="1:8" x14ac:dyDescent="0.3">
      <c r="A1592" t="s">
        <v>41</v>
      </c>
      <c r="B1592" s="2" t="s">
        <v>4</v>
      </c>
      <c r="F1592" t="s">
        <v>65</v>
      </c>
      <c r="H1592">
        <v>4</v>
      </c>
    </row>
    <row r="1593" spans="1:8" x14ac:dyDescent="0.3">
      <c r="A1593" t="s">
        <v>41</v>
      </c>
      <c r="B1593" s="2" t="s">
        <v>2</v>
      </c>
      <c r="F1593" t="s">
        <v>66</v>
      </c>
      <c r="H1593">
        <v>57</v>
      </c>
    </row>
    <row r="1594" spans="1:8" x14ac:dyDescent="0.3">
      <c r="A1594" t="s">
        <v>41</v>
      </c>
      <c r="B1594" s="2" t="s">
        <v>4</v>
      </c>
      <c r="F1594" t="s">
        <v>66</v>
      </c>
      <c r="H1594">
        <v>1</v>
      </c>
    </row>
    <row r="1595" spans="1:8" x14ac:dyDescent="0.3">
      <c r="A1595" t="s">
        <v>41</v>
      </c>
      <c r="B1595" s="2" t="s">
        <v>4</v>
      </c>
      <c r="G1595" t="s">
        <v>68</v>
      </c>
      <c r="H1595">
        <v>354</v>
      </c>
    </row>
    <row r="1596" spans="1:8" x14ac:dyDescent="0.3">
      <c r="A1596" t="s">
        <v>41</v>
      </c>
      <c r="B1596" s="2" t="s">
        <v>2</v>
      </c>
      <c r="G1596" t="s">
        <v>82</v>
      </c>
      <c r="H1596">
        <v>53</v>
      </c>
    </row>
    <row r="1597" spans="1:8" x14ac:dyDescent="0.3">
      <c r="A1597" t="s">
        <v>41</v>
      </c>
      <c r="B1597" s="2" t="s">
        <v>4</v>
      </c>
      <c r="G1597" t="s">
        <v>82</v>
      </c>
      <c r="H1597">
        <v>7</v>
      </c>
    </row>
    <row r="1598" spans="1:8" x14ac:dyDescent="0.3">
      <c r="A1598" t="s">
        <v>41</v>
      </c>
      <c r="B1598" s="2" t="s">
        <v>2</v>
      </c>
      <c r="G1598" t="s">
        <v>83</v>
      </c>
      <c r="H1598">
        <v>250</v>
      </c>
    </row>
    <row r="1599" spans="1:8" x14ac:dyDescent="0.3">
      <c r="A1599" t="s">
        <v>41</v>
      </c>
      <c r="B1599" s="2" t="s">
        <v>4</v>
      </c>
      <c r="G1599" t="s">
        <v>83</v>
      </c>
      <c r="H1599">
        <v>13</v>
      </c>
    </row>
    <row r="1600" spans="1:8" x14ac:dyDescent="0.3">
      <c r="A1600" t="s">
        <v>41</v>
      </c>
      <c r="B1600" s="2" t="s">
        <v>2</v>
      </c>
      <c r="G1600" t="s">
        <v>69</v>
      </c>
      <c r="H1600">
        <v>82</v>
      </c>
    </row>
    <row r="1601" spans="1:8" x14ac:dyDescent="0.3">
      <c r="A1601" t="s">
        <v>41</v>
      </c>
      <c r="B1601" s="2" t="s">
        <v>4</v>
      </c>
      <c r="G1601" t="s">
        <v>69</v>
      </c>
      <c r="H1601">
        <v>68</v>
      </c>
    </row>
    <row r="1602" spans="1:8" x14ac:dyDescent="0.3">
      <c r="A1602" t="s">
        <v>41</v>
      </c>
      <c r="B1602" s="2" t="s">
        <v>2</v>
      </c>
      <c r="G1602" t="s">
        <v>70</v>
      </c>
      <c r="H1602">
        <v>154</v>
      </c>
    </row>
    <row r="1603" spans="1:8" x14ac:dyDescent="0.3">
      <c r="A1603" t="s">
        <v>41</v>
      </c>
      <c r="B1603" s="2" t="s">
        <v>4</v>
      </c>
      <c r="G1603" t="s">
        <v>70</v>
      </c>
      <c r="H1603">
        <v>28</v>
      </c>
    </row>
    <row r="1604" spans="1:8" x14ac:dyDescent="0.3">
      <c r="A1604" t="s">
        <v>41</v>
      </c>
      <c r="B1604" s="2" t="s">
        <v>2</v>
      </c>
      <c r="G1604" t="s">
        <v>84</v>
      </c>
      <c r="H1604">
        <v>217</v>
      </c>
    </row>
    <row r="1605" spans="1:8" x14ac:dyDescent="0.3">
      <c r="A1605" t="s">
        <v>41</v>
      </c>
      <c r="B1605" s="2" t="s">
        <v>4</v>
      </c>
      <c r="G1605" t="s">
        <v>84</v>
      </c>
      <c r="H1605">
        <v>5</v>
      </c>
    </row>
    <row r="1606" spans="1:8" x14ac:dyDescent="0.3">
      <c r="A1606" t="s">
        <v>41</v>
      </c>
      <c r="B1606" s="2" t="s">
        <v>2</v>
      </c>
      <c r="G1606" t="s">
        <v>85</v>
      </c>
      <c r="H1606">
        <v>204</v>
      </c>
    </row>
    <row r="1607" spans="1:8" x14ac:dyDescent="0.3">
      <c r="A1607" t="s">
        <v>41</v>
      </c>
      <c r="B1607" s="2" t="s">
        <v>2</v>
      </c>
      <c r="G1607" t="s">
        <v>71</v>
      </c>
      <c r="H1607">
        <v>835</v>
      </c>
    </row>
    <row r="1608" spans="1:8" x14ac:dyDescent="0.3">
      <c r="A1608" t="s">
        <v>41</v>
      </c>
      <c r="B1608" s="2" t="s">
        <v>4</v>
      </c>
      <c r="G1608" t="s">
        <v>71</v>
      </c>
      <c r="H1608">
        <v>26</v>
      </c>
    </row>
    <row r="1609" spans="1:8" x14ac:dyDescent="0.3">
      <c r="A1609" t="s">
        <v>41</v>
      </c>
      <c r="B1609" s="2" t="s">
        <v>56</v>
      </c>
      <c r="G1609" t="s">
        <v>71</v>
      </c>
      <c r="H1609">
        <v>1</v>
      </c>
    </row>
    <row r="1610" spans="1:8" x14ac:dyDescent="0.3">
      <c r="A1610" t="s">
        <v>41</v>
      </c>
      <c r="B1610" s="2" t="s">
        <v>2</v>
      </c>
      <c r="G1610" t="s">
        <v>72</v>
      </c>
      <c r="H1610">
        <v>134</v>
      </c>
    </row>
    <row r="1611" spans="1:8" x14ac:dyDescent="0.3">
      <c r="A1611" t="s">
        <v>41</v>
      </c>
      <c r="B1611" s="2" t="s">
        <v>4</v>
      </c>
      <c r="G1611" t="s">
        <v>72</v>
      </c>
      <c r="H1611">
        <v>10</v>
      </c>
    </row>
    <row r="1612" spans="1:8" x14ac:dyDescent="0.3">
      <c r="A1612" t="s">
        <v>42</v>
      </c>
      <c r="B1612" s="2" t="s">
        <v>2</v>
      </c>
      <c r="C1612" s="4" t="s">
        <v>13</v>
      </c>
      <c r="H1612" s="3">
        <v>219</v>
      </c>
    </row>
    <row r="1613" spans="1:8" x14ac:dyDescent="0.3">
      <c r="A1613" t="s">
        <v>42</v>
      </c>
      <c r="B1613" s="2" t="s">
        <v>4</v>
      </c>
      <c r="C1613" s="4" t="s">
        <v>13</v>
      </c>
      <c r="H1613" s="3">
        <v>107</v>
      </c>
    </row>
    <row r="1614" spans="1:8" x14ac:dyDescent="0.3">
      <c r="A1614" t="s">
        <v>42</v>
      </c>
      <c r="B1614" s="2" t="s">
        <v>2</v>
      </c>
      <c r="C1614" s="4" t="s">
        <v>104</v>
      </c>
      <c r="H1614" s="3">
        <v>65</v>
      </c>
    </row>
    <row r="1615" spans="1:8" x14ac:dyDescent="0.3">
      <c r="A1615" t="s">
        <v>42</v>
      </c>
      <c r="B1615" s="2" t="s">
        <v>4</v>
      </c>
      <c r="C1615" s="4" t="s">
        <v>104</v>
      </c>
      <c r="H1615" s="3">
        <v>14</v>
      </c>
    </row>
    <row r="1616" spans="1:8" x14ac:dyDescent="0.3">
      <c r="A1616" t="s">
        <v>42</v>
      </c>
      <c r="B1616" s="2" t="s">
        <v>2</v>
      </c>
      <c r="C1616" s="4" t="s">
        <v>7</v>
      </c>
      <c r="H1616" s="3">
        <f>2836-39</f>
        <v>2797</v>
      </c>
    </row>
    <row r="1617" spans="1:8" x14ac:dyDescent="0.3">
      <c r="A1617" t="s">
        <v>42</v>
      </c>
      <c r="B1617" s="2" t="s">
        <v>4</v>
      </c>
      <c r="C1617" s="4" t="s">
        <v>7</v>
      </c>
      <c r="H1617" s="3">
        <v>956</v>
      </c>
    </row>
    <row r="1618" spans="1:8" x14ac:dyDescent="0.3">
      <c r="A1618" t="s">
        <v>42</v>
      </c>
      <c r="B1618" s="2" t="s">
        <v>2</v>
      </c>
      <c r="C1618" s="4" t="s">
        <v>103</v>
      </c>
      <c r="H1618" s="3">
        <f>415+23</f>
        <v>438</v>
      </c>
    </row>
    <row r="1619" spans="1:8" x14ac:dyDescent="0.3">
      <c r="A1619" t="s">
        <v>42</v>
      </c>
      <c r="B1619" s="2" t="s">
        <v>4</v>
      </c>
      <c r="C1619" s="4" t="s">
        <v>103</v>
      </c>
      <c r="H1619" s="3">
        <v>247</v>
      </c>
    </row>
    <row r="1620" spans="1:8" x14ac:dyDescent="0.3">
      <c r="A1620" t="s">
        <v>42</v>
      </c>
      <c r="B1620" s="2" t="s">
        <v>2</v>
      </c>
      <c r="C1620" s="4" t="s">
        <v>79</v>
      </c>
      <c r="H1620" s="3">
        <v>153</v>
      </c>
    </row>
    <row r="1621" spans="1:8" x14ac:dyDescent="0.3">
      <c r="A1621" t="s">
        <v>42</v>
      </c>
      <c r="B1621" s="2" t="s">
        <v>4</v>
      </c>
      <c r="C1621" s="4" t="s">
        <v>79</v>
      </c>
      <c r="H1621" s="3">
        <v>35</v>
      </c>
    </row>
    <row r="1622" spans="1:8" x14ac:dyDescent="0.3">
      <c r="A1622" t="s">
        <v>42</v>
      </c>
      <c r="B1622" s="2" t="s">
        <v>2</v>
      </c>
      <c r="C1622" s="4" t="s">
        <v>105</v>
      </c>
      <c r="H1622" s="3">
        <v>214</v>
      </c>
    </row>
    <row r="1623" spans="1:8" x14ac:dyDescent="0.3">
      <c r="A1623" t="s">
        <v>42</v>
      </c>
      <c r="B1623" s="2" t="s">
        <v>4</v>
      </c>
      <c r="C1623" s="4" t="s">
        <v>105</v>
      </c>
      <c r="H1623" s="3">
        <v>37</v>
      </c>
    </row>
    <row r="1624" spans="1:8" x14ac:dyDescent="0.3">
      <c r="A1624" t="s">
        <v>42</v>
      </c>
      <c r="B1624" s="2" t="s">
        <v>2</v>
      </c>
      <c r="C1624" s="4" t="s">
        <v>58</v>
      </c>
      <c r="H1624" s="3">
        <v>27</v>
      </c>
    </row>
    <row r="1625" spans="1:8" x14ac:dyDescent="0.3">
      <c r="A1625" t="s">
        <v>42</v>
      </c>
      <c r="B1625" s="2" t="s">
        <v>4</v>
      </c>
      <c r="C1625" s="4" t="s">
        <v>58</v>
      </c>
      <c r="H1625" s="3">
        <v>11</v>
      </c>
    </row>
    <row r="1626" spans="1:8" x14ac:dyDescent="0.3">
      <c r="A1626" t="s">
        <v>42</v>
      </c>
      <c r="B1626" s="2" t="s">
        <v>2</v>
      </c>
      <c r="C1626" s="4" t="s">
        <v>59</v>
      </c>
      <c r="H1626" s="3">
        <v>12</v>
      </c>
    </row>
    <row r="1627" spans="1:8" x14ac:dyDescent="0.3">
      <c r="A1627" t="s">
        <v>42</v>
      </c>
      <c r="B1627" s="2" t="s">
        <v>4</v>
      </c>
      <c r="C1627" s="4" t="s">
        <v>59</v>
      </c>
      <c r="H1627" s="3">
        <v>11</v>
      </c>
    </row>
    <row r="1628" spans="1:8" x14ac:dyDescent="0.3">
      <c r="A1628" t="s">
        <v>42</v>
      </c>
      <c r="B1628" s="2" t="s">
        <v>2</v>
      </c>
      <c r="D1628" t="s">
        <v>81</v>
      </c>
      <c r="H1628">
        <v>174</v>
      </c>
    </row>
    <row r="1629" spans="1:8" x14ac:dyDescent="0.3">
      <c r="A1629" t="s">
        <v>42</v>
      </c>
      <c r="B1629" s="2" t="s">
        <v>4</v>
      </c>
      <c r="D1629" t="s">
        <v>81</v>
      </c>
      <c r="H1629">
        <v>96</v>
      </c>
    </row>
    <row r="1630" spans="1:8" x14ac:dyDescent="0.3">
      <c r="A1630" t="s">
        <v>42</v>
      </c>
      <c r="B1630" s="2" t="s">
        <v>2</v>
      </c>
      <c r="D1630" t="s">
        <v>73</v>
      </c>
      <c r="H1630">
        <v>23</v>
      </c>
    </row>
    <row r="1631" spans="1:8" x14ac:dyDescent="0.3">
      <c r="A1631" t="s">
        <v>42</v>
      </c>
      <c r="B1631" s="2" t="s">
        <v>4</v>
      </c>
      <c r="D1631" t="s">
        <v>73</v>
      </c>
      <c r="H1631">
        <v>20</v>
      </c>
    </row>
    <row r="1632" spans="1:8" x14ac:dyDescent="0.3">
      <c r="A1632" t="s">
        <v>42</v>
      </c>
      <c r="B1632" s="2" t="s">
        <v>2</v>
      </c>
      <c r="D1632" t="s">
        <v>74</v>
      </c>
      <c r="H1632">
        <v>56</v>
      </c>
    </row>
    <row r="1633" spans="1:8" x14ac:dyDescent="0.3">
      <c r="A1633" t="s">
        <v>42</v>
      </c>
      <c r="B1633" s="2" t="s">
        <v>4</v>
      </c>
      <c r="D1633" t="s">
        <v>74</v>
      </c>
      <c r="H1633">
        <v>43</v>
      </c>
    </row>
    <row r="1634" spans="1:8" x14ac:dyDescent="0.3">
      <c r="A1634" t="s">
        <v>42</v>
      </c>
      <c r="B1634" s="2" t="s">
        <v>2</v>
      </c>
      <c r="D1634" t="s">
        <v>3</v>
      </c>
      <c r="H1634">
        <v>11</v>
      </c>
    </row>
    <row r="1635" spans="1:8" x14ac:dyDescent="0.3">
      <c r="A1635" t="s">
        <v>42</v>
      </c>
      <c r="B1635" s="2" t="s">
        <v>4</v>
      </c>
      <c r="D1635" t="s">
        <v>3</v>
      </c>
      <c r="H1635">
        <v>18</v>
      </c>
    </row>
    <row r="1636" spans="1:8" x14ac:dyDescent="0.3">
      <c r="A1636" t="s">
        <v>42</v>
      </c>
      <c r="B1636" s="2" t="s">
        <v>2</v>
      </c>
      <c r="D1636" t="s">
        <v>9</v>
      </c>
      <c r="H1636">
        <v>60</v>
      </c>
    </row>
    <row r="1637" spans="1:8" x14ac:dyDescent="0.3">
      <c r="A1637" t="s">
        <v>42</v>
      </c>
      <c r="B1637" s="2" t="s">
        <v>4</v>
      </c>
      <c r="D1637" t="s">
        <v>9</v>
      </c>
      <c r="H1637">
        <v>47</v>
      </c>
    </row>
    <row r="1638" spans="1:8" x14ac:dyDescent="0.3">
      <c r="A1638" t="s">
        <v>42</v>
      </c>
      <c r="B1638" s="2" t="s">
        <v>2</v>
      </c>
      <c r="D1638" t="s">
        <v>11</v>
      </c>
      <c r="H1638">
        <v>1588</v>
      </c>
    </row>
    <row r="1639" spans="1:8" x14ac:dyDescent="0.3">
      <c r="A1639" t="s">
        <v>42</v>
      </c>
      <c r="B1639" s="2" t="s">
        <v>4</v>
      </c>
      <c r="D1639" t="s">
        <v>11</v>
      </c>
      <c r="H1639">
        <v>598</v>
      </c>
    </row>
    <row r="1640" spans="1:8" x14ac:dyDescent="0.3">
      <c r="A1640" t="s">
        <v>42</v>
      </c>
      <c r="B1640" s="2" t="s">
        <v>2</v>
      </c>
      <c r="D1640" t="s">
        <v>80</v>
      </c>
      <c r="H1640">
        <v>504</v>
      </c>
    </row>
    <row r="1641" spans="1:8" x14ac:dyDescent="0.3">
      <c r="A1641" t="s">
        <v>42</v>
      </c>
      <c r="B1641" s="2" t="s">
        <v>4</v>
      </c>
      <c r="D1641" t="s">
        <v>80</v>
      </c>
      <c r="H1641">
        <v>137</v>
      </c>
    </row>
    <row r="1642" spans="1:8" x14ac:dyDescent="0.3">
      <c r="A1642" t="s">
        <v>42</v>
      </c>
      <c r="B1642" s="2" t="s">
        <v>2</v>
      </c>
      <c r="D1642" t="s">
        <v>8</v>
      </c>
      <c r="H1642">
        <v>8</v>
      </c>
    </row>
    <row r="1643" spans="1:8" x14ac:dyDescent="0.3">
      <c r="A1643" t="s">
        <v>42</v>
      </c>
      <c r="B1643" s="2" t="s">
        <v>4</v>
      </c>
      <c r="D1643" t="s">
        <v>8</v>
      </c>
      <c r="H1643">
        <v>4</v>
      </c>
    </row>
    <row r="1644" spans="1:8" x14ac:dyDescent="0.3">
      <c r="A1644" t="s">
        <v>42</v>
      </c>
      <c r="B1644" s="2" t="s">
        <v>2</v>
      </c>
      <c r="D1644" t="s">
        <v>76</v>
      </c>
      <c r="H1644">
        <v>174</v>
      </c>
    </row>
    <row r="1645" spans="1:8" x14ac:dyDescent="0.3">
      <c r="A1645" t="s">
        <v>42</v>
      </c>
      <c r="B1645" s="2" t="s">
        <v>4</v>
      </c>
      <c r="D1645" t="s">
        <v>76</v>
      </c>
      <c r="H1645">
        <v>11</v>
      </c>
    </row>
    <row r="1646" spans="1:8" x14ac:dyDescent="0.3">
      <c r="A1646" t="s">
        <v>42</v>
      </c>
      <c r="B1646" s="2" t="s">
        <v>2</v>
      </c>
      <c r="D1646" t="s">
        <v>10</v>
      </c>
      <c r="H1646">
        <v>19</v>
      </c>
    </row>
    <row r="1647" spans="1:8" x14ac:dyDescent="0.3">
      <c r="A1647" t="s">
        <v>42</v>
      </c>
      <c r="B1647" s="2" t="s">
        <v>4</v>
      </c>
      <c r="D1647" t="s">
        <v>10</v>
      </c>
      <c r="H1647">
        <v>6</v>
      </c>
    </row>
    <row r="1648" spans="1:8" x14ac:dyDescent="0.3">
      <c r="A1648" t="s">
        <v>42</v>
      </c>
      <c r="B1648" s="2" t="s">
        <v>2</v>
      </c>
      <c r="D1648" t="s">
        <v>5</v>
      </c>
      <c r="H1648">
        <v>1</v>
      </c>
    </row>
    <row r="1649" spans="1:8" x14ac:dyDescent="0.3">
      <c r="A1649" t="s">
        <v>42</v>
      </c>
      <c r="B1649" s="2" t="s">
        <v>2</v>
      </c>
      <c r="D1649" t="s">
        <v>14</v>
      </c>
      <c r="H1649">
        <v>330</v>
      </c>
    </row>
    <row r="1650" spans="1:8" x14ac:dyDescent="0.3">
      <c r="A1650" t="s">
        <v>42</v>
      </c>
      <c r="B1650" s="2" t="s">
        <v>4</v>
      </c>
      <c r="D1650" t="s">
        <v>14</v>
      </c>
      <c r="H1650">
        <v>199</v>
      </c>
    </row>
    <row r="1651" spans="1:8" x14ac:dyDescent="0.3">
      <c r="A1651" t="s">
        <v>42</v>
      </c>
      <c r="B1651" s="2" t="s">
        <v>2</v>
      </c>
      <c r="D1651" t="s">
        <v>15</v>
      </c>
      <c r="H1651">
        <v>65</v>
      </c>
    </row>
    <row r="1652" spans="1:8" x14ac:dyDescent="0.3">
      <c r="A1652" t="s">
        <v>42</v>
      </c>
      <c r="B1652" s="2" t="s">
        <v>4</v>
      </c>
      <c r="D1652" t="s">
        <v>15</v>
      </c>
      <c r="H1652">
        <v>5</v>
      </c>
    </row>
    <row r="1653" spans="1:8" x14ac:dyDescent="0.3">
      <c r="A1653" t="s">
        <v>42</v>
      </c>
      <c r="B1653" s="2" t="s">
        <v>2</v>
      </c>
      <c r="D1653" t="s">
        <v>17</v>
      </c>
      <c r="H1653">
        <v>93</v>
      </c>
    </row>
    <row r="1654" spans="1:8" x14ac:dyDescent="0.3">
      <c r="A1654" t="s">
        <v>42</v>
      </c>
      <c r="B1654" s="2" t="s">
        <v>4</v>
      </c>
      <c r="D1654" t="s">
        <v>17</v>
      </c>
      <c r="H1654">
        <v>6</v>
      </c>
    </row>
    <row r="1655" spans="1:8" x14ac:dyDescent="0.3">
      <c r="A1655" t="s">
        <v>42</v>
      </c>
      <c r="B1655" s="2" t="s">
        <v>2</v>
      </c>
      <c r="D1655" t="s">
        <v>6</v>
      </c>
      <c r="H1655">
        <v>95</v>
      </c>
    </row>
    <row r="1656" spans="1:8" x14ac:dyDescent="0.3">
      <c r="A1656" t="s">
        <v>42</v>
      </c>
      <c r="B1656" s="2" t="s">
        <v>4</v>
      </c>
      <c r="D1656" t="s">
        <v>6</v>
      </c>
      <c r="H1656">
        <v>14</v>
      </c>
    </row>
    <row r="1657" spans="1:8" x14ac:dyDescent="0.3">
      <c r="A1657" t="s">
        <v>42</v>
      </c>
      <c r="B1657" s="2" t="s">
        <v>2</v>
      </c>
      <c r="D1657" t="s">
        <v>16</v>
      </c>
      <c r="H1657">
        <v>62</v>
      </c>
    </row>
    <row r="1658" spans="1:8" x14ac:dyDescent="0.3">
      <c r="A1658" t="s">
        <v>42</v>
      </c>
      <c r="B1658" s="2" t="s">
        <v>4</v>
      </c>
      <c r="D1658" t="s">
        <v>16</v>
      </c>
      <c r="H1658">
        <v>7</v>
      </c>
    </row>
    <row r="1659" spans="1:8" x14ac:dyDescent="0.3">
      <c r="A1659" t="s">
        <v>42</v>
      </c>
      <c r="B1659" s="2" t="s">
        <v>4</v>
      </c>
      <c r="D1659" t="s">
        <v>78</v>
      </c>
      <c r="H1659">
        <v>207</v>
      </c>
    </row>
    <row r="1660" spans="1:8" x14ac:dyDescent="0.3">
      <c r="A1660" t="s">
        <v>42</v>
      </c>
      <c r="B1660" s="2" t="s">
        <v>2</v>
      </c>
      <c r="D1660" t="s">
        <v>78</v>
      </c>
      <c r="H1660">
        <v>662</v>
      </c>
    </row>
    <row r="1661" spans="1:8" x14ac:dyDescent="0.3">
      <c r="A1661" t="s">
        <v>42</v>
      </c>
      <c r="B1661" s="2" t="s">
        <v>2</v>
      </c>
      <c r="E1661" t="s">
        <v>21</v>
      </c>
      <c r="H1661">
        <v>562</v>
      </c>
    </row>
    <row r="1662" spans="1:8" x14ac:dyDescent="0.3">
      <c r="A1662" t="s">
        <v>42</v>
      </c>
      <c r="B1662" s="2" t="s">
        <v>4</v>
      </c>
      <c r="E1662" t="s">
        <v>21</v>
      </c>
      <c r="H1662">
        <v>299</v>
      </c>
    </row>
    <row r="1663" spans="1:8" x14ac:dyDescent="0.3">
      <c r="A1663" t="s">
        <v>42</v>
      </c>
      <c r="B1663" s="2" t="s">
        <v>2</v>
      </c>
      <c r="E1663" t="s">
        <v>91</v>
      </c>
      <c r="H1663">
        <f>747+740</f>
        <v>1487</v>
      </c>
    </row>
    <row r="1664" spans="1:8" x14ac:dyDescent="0.3">
      <c r="A1664" t="s">
        <v>42</v>
      </c>
      <c r="B1664" s="2" t="s">
        <v>4</v>
      </c>
      <c r="E1664" t="s">
        <v>91</v>
      </c>
      <c r="H1664">
        <f>245+301</f>
        <v>546</v>
      </c>
    </row>
    <row r="1665" spans="1:8" x14ac:dyDescent="0.3">
      <c r="A1665" t="s">
        <v>42</v>
      </c>
      <c r="B1665" s="2" t="s">
        <v>2</v>
      </c>
      <c r="E1665" t="s">
        <v>90</v>
      </c>
      <c r="H1665">
        <v>764</v>
      </c>
    </row>
    <row r="1666" spans="1:8" x14ac:dyDescent="0.3">
      <c r="A1666" t="s">
        <v>42</v>
      </c>
      <c r="B1666" s="2" t="s">
        <v>4</v>
      </c>
      <c r="E1666" t="s">
        <v>90</v>
      </c>
      <c r="H1666">
        <v>258</v>
      </c>
    </row>
    <row r="1667" spans="1:8" x14ac:dyDescent="0.3">
      <c r="A1667" t="s">
        <v>42</v>
      </c>
      <c r="B1667" s="2" t="s">
        <v>2</v>
      </c>
      <c r="E1667" t="s">
        <v>89</v>
      </c>
      <c r="H1667">
        <v>677</v>
      </c>
    </row>
    <row r="1668" spans="1:8" x14ac:dyDescent="0.3">
      <c r="A1668" t="s">
        <v>42</v>
      </c>
      <c r="B1668" s="2" t="s">
        <v>4</v>
      </c>
      <c r="E1668" t="s">
        <v>89</v>
      </c>
      <c r="H1668">
        <v>205</v>
      </c>
    </row>
    <row r="1669" spans="1:8" x14ac:dyDescent="0.3">
      <c r="A1669" t="s">
        <v>42</v>
      </c>
      <c r="B1669" s="2" t="s">
        <v>2</v>
      </c>
      <c r="E1669" t="s">
        <v>60</v>
      </c>
      <c r="H1669">
        <v>44</v>
      </c>
    </row>
    <row r="1670" spans="1:8" x14ac:dyDescent="0.3">
      <c r="A1670" t="s">
        <v>42</v>
      </c>
      <c r="B1670" s="2" t="s">
        <v>4</v>
      </c>
      <c r="E1670" t="s">
        <v>60</v>
      </c>
      <c r="H1670">
        <v>17</v>
      </c>
    </row>
    <row r="1671" spans="1:8" x14ac:dyDescent="0.3">
      <c r="A1671" t="s">
        <v>42</v>
      </c>
      <c r="B1671" s="2" t="s">
        <v>2</v>
      </c>
      <c r="E1671" t="s">
        <v>61</v>
      </c>
      <c r="H1671">
        <v>306</v>
      </c>
    </row>
    <row r="1672" spans="1:8" x14ac:dyDescent="0.3">
      <c r="A1672" t="s">
        <v>42</v>
      </c>
      <c r="B1672" s="2" t="s">
        <v>4</v>
      </c>
      <c r="E1672" t="s">
        <v>61</v>
      </c>
      <c r="H1672">
        <v>73</v>
      </c>
    </row>
    <row r="1673" spans="1:8" x14ac:dyDescent="0.3">
      <c r="A1673" t="s">
        <v>42</v>
      </c>
      <c r="B1673" s="2" t="s">
        <v>2</v>
      </c>
      <c r="E1673" t="s">
        <v>92</v>
      </c>
      <c r="H1673">
        <v>17</v>
      </c>
    </row>
    <row r="1674" spans="1:8" x14ac:dyDescent="0.3">
      <c r="A1674" t="s">
        <v>42</v>
      </c>
      <c r="B1674" s="2" t="s">
        <v>4</v>
      </c>
      <c r="E1674" t="s">
        <v>92</v>
      </c>
      <c r="H1674">
        <v>3</v>
      </c>
    </row>
    <row r="1675" spans="1:8" x14ac:dyDescent="0.3">
      <c r="A1675" t="s">
        <v>42</v>
      </c>
      <c r="B1675" s="2" t="s">
        <v>2</v>
      </c>
      <c r="E1675" t="s">
        <v>62</v>
      </c>
      <c r="H1675">
        <v>68</v>
      </c>
    </row>
    <row r="1676" spans="1:8" x14ac:dyDescent="0.3">
      <c r="A1676" t="s">
        <v>42</v>
      </c>
      <c r="B1676" s="2" t="s">
        <v>4</v>
      </c>
      <c r="E1676" t="s">
        <v>62</v>
      </c>
      <c r="H1676">
        <v>17</v>
      </c>
    </row>
    <row r="1677" spans="1:8" x14ac:dyDescent="0.3">
      <c r="A1677" t="s">
        <v>42</v>
      </c>
      <c r="B1677" s="2" t="s">
        <v>2</v>
      </c>
      <c r="F1677" t="s">
        <v>64</v>
      </c>
      <c r="H1677">
        <v>989</v>
      </c>
    </row>
    <row r="1678" spans="1:8" x14ac:dyDescent="0.3">
      <c r="A1678" t="s">
        <v>42</v>
      </c>
      <c r="B1678" s="2" t="s">
        <v>4</v>
      </c>
      <c r="F1678" t="s">
        <v>64</v>
      </c>
      <c r="H1678">
        <v>490</v>
      </c>
    </row>
    <row r="1679" spans="1:8" x14ac:dyDescent="0.3">
      <c r="A1679" t="s">
        <v>42</v>
      </c>
      <c r="B1679" s="2" t="s">
        <v>2</v>
      </c>
      <c r="F1679" t="s">
        <v>18</v>
      </c>
      <c r="H1679">
        <v>2795</v>
      </c>
    </row>
    <row r="1680" spans="1:8" x14ac:dyDescent="0.3">
      <c r="A1680" t="s">
        <v>42</v>
      </c>
      <c r="B1680" s="2" t="s">
        <v>4</v>
      </c>
      <c r="F1680" t="s">
        <v>18</v>
      </c>
      <c r="H1680">
        <v>876</v>
      </c>
    </row>
    <row r="1681" spans="1:8" x14ac:dyDescent="0.3">
      <c r="A1681" t="s">
        <v>42</v>
      </c>
      <c r="B1681" s="2" t="s">
        <v>2</v>
      </c>
      <c r="F1681" t="s">
        <v>19</v>
      </c>
      <c r="H1681">
        <v>41</v>
      </c>
    </row>
    <row r="1682" spans="1:8" x14ac:dyDescent="0.3">
      <c r="A1682" t="s">
        <v>42</v>
      </c>
      <c r="B1682" s="2" t="s">
        <v>4</v>
      </c>
      <c r="F1682" t="s">
        <v>19</v>
      </c>
      <c r="H1682">
        <v>20</v>
      </c>
    </row>
    <row r="1683" spans="1:8" x14ac:dyDescent="0.3">
      <c r="A1683" t="s">
        <v>42</v>
      </c>
      <c r="B1683" s="2" t="s">
        <v>2</v>
      </c>
      <c r="F1683" t="s">
        <v>20</v>
      </c>
      <c r="H1683">
        <v>31</v>
      </c>
    </row>
    <row r="1684" spans="1:8" x14ac:dyDescent="0.3">
      <c r="A1684" t="s">
        <v>42</v>
      </c>
      <c r="B1684" s="2" t="s">
        <v>4</v>
      </c>
      <c r="F1684" t="s">
        <v>20</v>
      </c>
      <c r="H1684">
        <v>16</v>
      </c>
    </row>
    <row r="1685" spans="1:8" x14ac:dyDescent="0.3">
      <c r="A1685" t="s">
        <v>42</v>
      </c>
      <c r="B1685" s="2" t="s">
        <v>2</v>
      </c>
      <c r="F1685" t="s">
        <v>65</v>
      </c>
      <c r="H1685">
        <v>6</v>
      </c>
    </row>
    <row r="1686" spans="1:8" x14ac:dyDescent="0.3">
      <c r="A1686" t="s">
        <v>42</v>
      </c>
      <c r="B1686" s="2" t="s">
        <v>4</v>
      </c>
      <c r="F1686" t="s">
        <v>65</v>
      </c>
      <c r="H1686">
        <v>6</v>
      </c>
    </row>
    <row r="1687" spans="1:8" x14ac:dyDescent="0.3">
      <c r="A1687" t="s">
        <v>42</v>
      </c>
      <c r="B1687" s="2" t="s">
        <v>2</v>
      </c>
      <c r="F1687" t="s">
        <v>66</v>
      </c>
      <c r="H1687">
        <f>25+38</f>
        <v>63</v>
      </c>
    </row>
    <row r="1688" spans="1:8" x14ac:dyDescent="0.3">
      <c r="A1688" t="s">
        <v>42</v>
      </c>
      <c r="B1688" s="2" t="s">
        <v>4</v>
      </c>
      <c r="F1688" t="s">
        <v>66</v>
      </c>
      <c r="H1688">
        <v>10</v>
      </c>
    </row>
    <row r="1689" spans="1:8" x14ac:dyDescent="0.3">
      <c r="A1689" t="s">
        <v>42</v>
      </c>
      <c r="B1689" s="2" t="s">
        <v>4</v>
      </c>
      <c r="G1689" t="s">
        <v>68</v>
      </c>
      <c r="H1689">
        <v>836</v>
      </c>
    </row>
    <row r="1690" spans="1:8" x14ac:dyDescent="0.3">
      <c r="A1690" t="s">
        <v>42</v>
      </c>
      <c r="B1690" s="2" t="s">
        <v>2</v>
      </c>
      <c r="G1690" t="s">
        <v>82</v>
      </c>
      <c r="H1690">
        <v>78</v>
      </c>
    </row>
    <row r="1691" spans="1:8" x14ac:dyDescent="0.3">
      <c r="A1691" t="s">
        <v>42</v>
      </c>
      <c r="B1691" s="2" t="s">
        <v>4</v>
      </c>
      <c r="G1691" t="s">
        <v>82</v>
      </c>
      <c r="H1691">
        <v>17</v>
      </c>
    </row>
    <row r="1692" spans="1:8" x14ac:dyDescent="0.3">
      <c r="A1692" t="s">
        <v>42</v>
      </c>
      <c r="B1692" s="2" t="s">
        <v>2</v>
      </c>
      <c r="G1692" t="s">
        <v>83</v>
      </c>
      <c r="H1692">
        <v>417</v>
      </c>
    </row>
    <row r="1693" spans="1:8" x14ac:dyDescent="0.3">
      <c r="A1693" t="s">
        <v>42</v>
      </c>
      <c r="B1693" s="2" t="s">
        <v>4</v>
      </c>
      <c r="G1693" t="s">
        <v>83</v>
      </c>
      <c r="H1693">
        <v>46</v>
      </c>
    </row>
    <row r="1694" spans="1:8" x14ac:dyDescent="0.3">
      <c r="A1694" t="s">
        <v>42</v>
      </c>
      <c r="B1694" s="2" t="s">
        <v>2</v>
      </c>
      <c r="G1694" t="s">
        <v>69</v>
      </c>
      <c r="H1694">
        <v>334</v>
      </c>
    </row>
    <row r="1695" spans="1:8" x14ac:dyDescent="0.3">
      <c r="A1695" t="s">
        <v>42</v>
      </c>
      <c r="B1695" s="2" t="s">
        <v>4</v>
      </c>
      <c r="G1695" t="s">
        <v>69</v>
      </c>
      <c r="H1695">
        <v>237</v>
      </c>
    </row>
    <row r="1696" spans="1:8" x14ac:dyDescent="0.3">
      <c r="A1696" t="s">
        <v>42</v>
      </c>
      <c r="B1696" s="2" t="s">
        <v>2</v>
      </c>
      <c r="G1696" t="s">
        <v>70</v>
      </c>
      <c r="H1696">
        <v>542</v>
      </c>
    </row>
    <row r="1697" spans="1:8" x14ac:dyDescent="0.3">
      <c r="A1697" t="s">
        <v>42</v>
      </c>
      <c r="B1697" s="2" t="s">
        <v>4</v>
      </c>
      <c r="G1697" t="s">
        <v>70</v>
      </c>
      <c r="H1697">
        <v>100</v>
      </c>
    </row>
    <row r="1698" spans="1:8" x14ac:dyDescent="0.3">
      <c r="A1698" t="s">
        <v>42</v>
      </c>
      <c r="B1698" s="2" t="s">
        <v>2</v>
      </c>
      <c r="G1698" t="s">
        <v>84</v>
      </c>
      <c r="H1698">
        <v>919</v>
      </c>
    </row>
    <row r="1699" spans="1:8" x14ac:dyDescent="0.3">
      <c r="A1699" t="s">
        <v>42</v>
      </c>
      <c r="B1699" s="2" t="s">
        <v>4</v>
      </c>
      <c r="G1699" t="s">
        <v>84</v>
      </c>
      <c r="H1699">
        <v>69</v>
      </c>
    </row>
    <row r="1700" spans="1:8" x14ac:dyDescent="0.3">
      <c r="A1700" t="s">
        <v>42</v>
      </c>
      <c r="B1700" s="2" t="s">
        <v>2</v>
      </c>
      <c r="G1700" t="s">
        <v>85</v>
      </c>
      <c r="H1700">
        <v>225</v>
      </c>
    </row>
    <row r="1701" spans="1:8" x14ac:dyDescent="0.3">
      <c r="A1701" t="s">
        <v>42</v>
      </c>
      <c r="B1701" s="2" t="s">
        <v>4</v>
      </c>
      <c r="G1701" t="s">
        <v>85</v>
      </c>
      <c r="H1701">
        <v>14</v>
      </c>
    </row>
    <row r="1702" spans="1:8" x14ac:dyDescent="0.3">
      <c r="A1702" t="s">
        <v>42</v>
      </c>
      <c r="B1702" s="2" t="s">
        <v>2</v>
      </c>
      <c r="G1702" t="s">
        <v>71</v>
      </c>
      <c r="H1702">
        <v>1353</v>
      </c>
    </row>
    <row r="1703" spans="1:8" x14ac:dyDescent="0.3">
      <c r="A1703" t="s">
        <v>42</v>
      </c>
      <c r="B1703" s="2" t="s">
        <v>4</v>
      </c>
      <c r="G1703" t="s">
        <v>71</v>
      </c>
      <c r="H1703">
        <v>76</v>
      </c>
    </row>
    <row r="1704" spans="1:8" x14ac:dyDescent="0.3">
      <c r="A1704" t="s">
        <v>42</v>
      </c>
      <c r="B1704" s="2" t="s">
        <v>2</v>
      </c>
      <c r="G1704" t="s">
        <v>72</v>
      </c>
      <c r="H1704">
        <v>57</v>
      </c>
    </row>
    <row r="1705" spans="1:8" x14ac:dyDescent="0.3">
      <c r="A1705" t="s">
        <v>42</v>
      </c>
      <c r="B1705" s="2" t="s">
        <v>4</v>
      </c>
      <c r="G1705" t="s">
        <v>72</v>
      </c>
      <c r="H1705">
        <v>23</v>
      </c>
    </row>
    <row r="1706" spans="1:8" x14ac:dyDescent="0.3">
      <c r="A1706" t="s">
        <v>43</v>
      </c>
      <c r="B1706" s="2" t="s">
        <v>2</v>
      </c>
      <c r="C1706" s="4" t="s">
        <v>13</v>
      </c>
      <c r="H1706" s="3">
        <v>5</v>
      </c>
    </row>
    <row r="1707" spans="1:8" x14ac:dyDescent="0.3">
      <c r="A1707" t="s">
        <v>43</v>
      </c>
      <c r="B1707" s="2" t="s">
        <v>2</v>
      </c>
      <c r="C1707" s="4" t="s">
        <v>104</v>
      </c>
      <c r="H1707" s="3">
        <v>2</v>
      </c>
    </row>
    <row r="1708" spans="1:8" x14ac:dyDescent="0.3">
      <c r="A1708" t="s">
        <v>43</v>
      </c>
      <c r="B1708" s="2" t="s">
        <v>4</v>
      </c>
      <c r="C1708" s="4" t="s">
        <v>104</v>
      </c>
      <c r="H1708" s="3">
        <v>1</v>
      </c>
    </row>
    <row r="1709" spans="1:8" x14ac:dyDescent="0.3">
      <c r="A1709" t="s">
        <v>43</v>
      </c>
      <c r="B1709" s="2" t="s">
        <v>2</v>
      </c>
      <c r="C1709" s="4" t="s">
        <v>7</v>
      </c>
      <c r="H1709" s="3">
        <v>199</v>
      </c>
    </row>
    <row r="1710" spans="1:8" x14ac:dyDescent="0.3">
      <c r="A1710" t="s">
        <v>43</v>
      </c>
      <c r="B1710" s="2" t="s">
        <v>4</v>
      </c>
      <c r="C1710" s="4" t="s">
        <v>7</v>
      </c>
      <c r="H1710" s="3">
        <v>66</v>
      </c>
    </row>
    <row r="1711" spans="1:8" x14ac:dyDescent="0.3">
      <c r="A1711" t="s">
        <v>43</v>
      </c>
      <c r="B1711" s="2" t="s">
        <v>2</v>
      </c>
      <c r="C1711" s="4" t="s">
        <v>103</v>
      </c>
      <c r="H1711" s="3">
        <f>1+1</f>
        <v>2</v>
      </c>
    </row>
    <row r="1712" spans="1:8" x14ac:dyDescent="0.3">
      <c r="A1712" t="s">
        <v>43</v>
      </c>
      <c r="B1712" s="2" t="s">
        <v>2</v>
      </c>
      <c r="C1712" s="4" t="s">
        <v>58</v>
      </c>
      <c r="H1712" s="3">
        <v>1</v>
      </c>
    </row>
    <row r="1713" spans="1:8" x14ac:dyDescent="0.3">
      <c r="A1713" t="s">
        <v>43</v>
      </c>
      <c r="B1713" s="2" t="s">
        <v>2</v>
      </c>
      <c r="C1713" s="4" t="s">
        <v>59</v>
      </c>
      <c r="H1713" s="3">
        <v>17</v>
      </c>
    </row>
    <row r="1714" spans="1:8" x14ac:dyDescent="0.3">
      <c r="A1714" t="s">
        <v>43</v>
      </c>
      <c r="B1714" s="2" t="s">
        <v>2</v>
      </c>
      <c r="D1714" t="s">
        <v>81</v>
      </c>
      <c r="H1714">
        <v>5</v>
      </c>
    </row>
    <row r="1715" spans="1:8" x14ac:dyDescent="0.3">
      <c r="A1715" t="s">
        <v>43</v>
      </c>
      <c r="B1715" s="2" t="s">
        <v>4</v>
      </c>
      <c r="D1715" t="s">
        <v>81</v>
      </c>
      <c r="H1715">
        <v>4</v>
      </c>
    </row>
    <row r="1716" spans="1:8" x14ac:dyDescent="0.3">
      <c r="A1716" t="s">
        <v>43</v>
      </c>
      <c r="B1716" s="2" t="s">
        <v>2</v>
      </c>
      <c r="D1716" t="s">
        <v>74</v>
      </c>
      <c r="H1716">
        <v>1</v>
      </c>
    </row>
    <row r="1717" spans="1:8" x14ac:dyDescent="0.3">
      <c r="A1717" t="s">
        <v>43</v>
      </c>
      <c r="B1717" s="2" t="s">
        <v>4</v>
      </c>
      <c r="D1717" t="s">
        <v>74</v>
      </c>
      <c r="H1717">
        <v>2</v>
      </c>
    </row>
    <row r="1718" spans="1:8" x14ac:dyDescent="0.3">
      <c r="A1718" t="s">
        <v>43</v>
      </c>
      <c r="B1718" s="2" t="s">
        <v>2</v>
      </c>
      <c r="D1718" t="s">
        <v>9</v>
      </c>
      <c r="H1718">
        <v>1</v>
      </c>
    </row>
    <row r="1719" spans="1:8" x14ac:dyDescent="0.3">
      <c r="A1719" t="s">
        <v>43</v>
      </c>
      <c r="B1719" s="2" t="s">
        <v>4</v>
      </c>
      <c r="D1719" t="s">
        <v>9</v>
      </c>
      <c r="H1719">
        <v>3</v>
      </c>
    </row>
    <row r="1720" spans="1:8" x14ac:dyDescent="0.3">
      <c r="A1720" t="s">
        <v>43</v>
      </c>
      <c r="B1720" s="2" t="s">
        <v>2</v>
      </c>
      <c r="D1720" t="s">
        <v>11</v>
      </c>
      <c r="H1720">
        <v>7</v>
      </c>
    </row>
    <row r="1721" spans="1:8" x14ac:dyDescent="0.3">
      <c r="A1721" t="s">
        <v>43</v>
      </c>
      <c r="B1721" s="2" t="s">
        <v>2</v>
      </c>
      <c r="D1721" t="s">
        <v>80</v>
      </c>
      <c r="H1721">
        <v>59</v>
      </c>
    </row>
    <row r="1722" spans="1:8" x14ac:dyDescent="0.3">
      <c r="A1722" t="s">
        <v>43</v>
      </c>
      <c r="B1722" s="2" t="s">
        <v>4</v>
      </c>
      <c r="D1722" t="s">
        <v>80</v>
      </c>
      <c r="H1722">
        <v>25</v>
      </c>
    </row>
    <row r="1723" spans="1:8" x14ac:dyDescent="0.3">
      <c r="A1723" t="s">
        <v>43</v>
      </c>
      <c r="B1723" s="2" t="s">
        <v>2</v>
      </c>
      <c r="D1723" t="s">
        <v>8</v>
      </c>
      <c r="H1723">
        <v>2</v>
      </c>
    </row>
    <row r="1724" spans="1:8" x14ac:dyDescent="0.3">
      <c r="A1724" t="s">
        <v>43</v>
      </c>
      <c r="B1724" s="2" t="s">
        <v>4</v>
      </c>
      <c r="D1724" t="s">
        <v>8</v>
      </c>
      <c r="H1724">
        <v>2</v>
      </c>
    </row>
    <row r="1725" spans="1:8" x14ac:dyDescent="0.3">
      <c r="A1725" t="s">
        <v>43</v>
      </c>
      <c r="B1725" s="2" t="s">
        <v>2</v>
      </c>
      <c r="D1725" t="s">
        <v>76</v>
      </c>
      <c r="H1725">
        <v>61</v>
      </c>
    </row>
    <row r="1726" spans="1:8" x14ac:dyDescent="0.3">
      <c r="A1726" t="s">
        <v>43</v>
      </c>
      <c r="B1726" s="2" t="s">
        <v>4</v>
      </c>
      <c r="D1726" t="s">
        <v>76</v>
      </c>
      <c r="H1726">
        <v>7</v>
      </c>
    </row>
    <row r="1727" spans="1:8" x14ac:dyDescent="0.3">
      <c r="A1727" t="s">
        <v>43</v>
      </c>
      <c r="B1727" s="2" t="s">
        <v>2</v>
      </c>
      <c r="D1727" t="s">
        <v>10</v>
      </c>
      <c r="H1727">
        <v>1</v>
      </c>
    </row>
    <row r="1728" spans="1:8" x14ac:dyDescent="0.3">
      <c r="A1728" t="s">
        <v>43</v>
      </c>
      <c r="B1728" s="2" t="s">
        <v>2</v>
      </c>
      <c r="D1728" t="s">
        <v>14</v>
      </c>
      <c r="H1728">
        <v>8</v>
      </c>
    </row>
    <row r="1729" spans="1:8" x14ac:dyDescent="0.3">
      <c r="A1729" t="s">
        <v>43</v>
      </c>
      <c r="B1729" s="2" t="s">
        <v>4</v>
      </c>
      <c r="D1729" t="s">
        <v>14</v>
      </c>
      <c r="H1729">
        <v>3</v>
      </c>
    </row>
    <row r="1730" spans="1:8" x14ac:dyDescent="0.3">
      <c r="A1730" t="s">
        <v>43</v>
      </c>
      <c r="B1730" s="2" t="s">
        <v>2</v>
      </c>
      <c r="D1730" t="s">
        <v>17</v>
      </c>
      <c r="H1730">
        <v>6</v>
      </c>
    </row>
    <row r="1731" spans="1:8" x14ac:dyDescent="0.3">
      <c r="A1731" t="s">
        <v>43</v>
      </c>
      <c r="B1731" s="2" t="s">
        <v>2</v>
      </c>
      <c r="D1731" t="s">
        <v>16</v>
      </c>
      <c r="H1731">
        <v>4</v>
      </c>
    </row>
    <row r="1732" spans="1:8" x14ac:dyDescent="0.3">
      <c r="A1732" t="s">
        <v>43</v>
      </c>
      <c r="B1732" s="2" t="s">
        <v>4</v>
      </c>
      <c r="D1732" t="s">
        <v>78</v>
      </c>
      <c r="H1732">
        <v>21</v>
      </c>
    </row>
    <row r="1733" spans="1:8" x14ac:dyDescent="0.3">
      <c r="A1733" t="s">
        <v>43</v>
      </c>
      <c r="B1733" s="2" t="s">
        <v>2</v>
      </c>
      <c r="D1733" t="s">
        <v>78</v>
      </c>
      <c r="H1733">
        <v>71</v>
      </c>
    </row>
    <row r="1734" spans="1:8" x14ac:dyDescent="0.3">
      <c r="A1734" t="s">
        <v>43</v>
      </c>
      <c r="B1734" s="2" t="s">
        <v>2</v>
      </c>
      <c r="E1734" t="s">
        <v>21</v>
      </c>
      <c r="H1734">
        <v>31</v>
      </c>
    </row>
    <row r="1735" spans="1:8" x14ac:dyDescent="0.3">
      <c r="A1735" t="s">
        <v>43</v>
      </c>
      <c r="B1735" s="2" t="s">
        <v>4</v>
      </c>
      <c r="E1735" t="s">
        <v>21</v>
      </c>
      <c r="H1735">
        <v>11</v>
      </c>
    </row>
    <row r="1736" spans="1:8" x14ac:dyDescent="0.3">
      <c r="A1736" t="s">
        <v>43</v>
      </c>
      <c r="B1736" s="2" t="s">
        <v>2</v>
      </c>
      <c r="E1736" t="s">
        <v>91</v>
      </c>
      <c r="H1736">
        <f>51*2</f>
        <v>102</v>
      </c>
    </row>
    <row r="1737" spans="1:8" x14ac:dyDescent="0.3">
      <c r="A1737" t="s">
        <v>43</v>
      </c>
      <c r="B1737" s="2" t="s">
        <v>4</v>
      </c>
      <c r="E1737" t="s">
        <v>91</v>
      </c>
      <c r="H1737">
        <v>29</v>
      </c>
    </row>
    <row r="1738" spans="1:8" x14ac:dyDescent="0.3">
      <c r="A1738" t="s">
        <v>43</v>
      </c>
      <c r="B1738" s="2" t="s">
        <v>2</v>
      </c>
      <c r="E1738" t="s">
        <v>90</v>
      </c>
      <c r="H1738">
        <v>54</v>
      </c>
    </row>
    <row r="1739" spans="1:8" x14ac:dyDescent="0.3">
      <c r="A1739" t="s">
        <v>43</v>
      </c>
      <c r="B1739" s="2" t="s">
        <v>4</v>
      </c>
      <c r="E1739" t="s">
        <v>90</v>
      </c>
      <c r="H1739">
        <v>20</v>
      </c>
    </row>
    <row r="1740" spans="1:8" x14ac:dyDescent="0.3">
      <c r="A1740" t="s">
        <v>43</v>
      </c>
      <c r="B1740" s="2" t="s">
        <v>2</v>
      </c>
      <c r="E1740" t="s">
        <v>89</v>
      </c>
      <c r="H1740">
        <v>28</v>
      </c>
    </row>
    <row r="1741" spans="1:8" x14ac:dyDescent="0.3">
      <c r="A1741" t="s">
        <v>43</v>
      </c>
      <c r="B1741" s="2" t="s">
        <v>4</v>
      </c>
      <c r="E1741" t="s">
        <v>89</v>
      </c>
      <c r="H1741">
        <v>4</v>
      </c>
    </row>
    <row r="1742" spans="1:8" x14ac:dyDescent="0.3">
      <c r="A1742" t="s">
        <v>43</v>
      </c>
      <c r="B1742" s="2" t="s">
        <v>2</v>
      </c>
      <c r="E1742" t="s">
        <v>60</v>
      </c>
      <c r="H1742">
        <v>1</v>
      </c>
    </row>
    <row r="1743" spans="1:8" x14ac:dyDescent="0.3">
      <c r="A1743" t="s">
        <v>43</v>
      </c>
      <c r="B1743" s="2" t="s">
        <v>2</v>
      </c>
      <c r="E1743" t="s">
        <v>61</v>
      </c>
      <c r="H1743">
        <v>2</v>
      </c>
    </row>
    <row r="1744" spans="1:8" x14ac:dyDescent="0.3">
      <c r="A1744" t="s">
        <v>43</v>
      </c>
      <c r="B1744" s="2" t="s">
        <v>4</v>
      </c>
      <c r="E1744" t="s">
        <v>61</v>
      </c>
      <c r="H1744">
        <v>3</v>
      </c>
    </row>
    <row r="1745" spans="1:8" x14ac:dyDescent="0.3">
      <c r="A1745" t="s">
        <v>43</v>
      </c>
      <c r="B1745" s="2" t="s">
        <v>2</v>
      </c>
      <c r="E1745" t="s">
        <v>92</v>
      </c>
      <c r="H1745">
        <v>1</v>
      </c>
    </row>
    <row r="1746" spans="1:8" x14ac:dyDescent="0.3">
      <c r="A1746" t="s">
        <v>43</v>
      </c>
      <c r="B1746" s="2" t="s">
        <v>2</v>
      </c>
      <c r="E1746" t="s">
        <v>62</v>
      </c>
      <c r="H1746">
        <v>7</v>
      </c>
    </row>
    <row r="1747" spans="1:8" x14ac:dyDescent="0.3">
      <c r="A1747" t="s">
        <v>43</v>
      </c>
      <c r="B1747" s="2" t="s">
        <v>2</v>
      </c>
      <c r="F1747" t="s">
        <v>64</v>
      </c>
      <c r="H1747">
        <v>89</v>
      </c>
    </row>
    <row r="1748" spans="1:8" x14ac:dyDescent="0.3">
      <c r="A1748" t="s">
        <v>43</v>
      </c>
      <c r="B1748" s="2" t="s">
        <v>4</v>
      </c>
      <c r="F1748" t="s">
        <v>64</v>
      </c>
      <c r="H1748">
        <v>19</v>
      </c>
    </row>
    <row r="1749" spans="1:8" x14ac:dyDescent="0.3">
      <c r="A1749" t="s">
        <v>43</v>
      </c>
      <c r="B1749" s="2" t="s">
        <v>2</v>
      </c>
      <c r="F1749" t="s">
        <v>18</v>
      </c>
      <c r="H1749">
        <v>131</v>
      </c>
    </row>
    <row r="1750" spans="1:8" x14ac:dyDescent="0.3">
      <c r="A1750" t="s">
        <v>43</v>
      </c>
      <c r="B1750" s="2" t="s">
        <v>4</v>
      </c>
      <c r="F1750" t="s">
        <v>18</v>
      </c>
      <c r="H1750">
        <v>44</v>
      </c>
    </row>
    <row r="1751" spans="1:8" x14ac:dyDescent="0.3">
      <c r="A1751" t="s">
        <v>43</v>
      </c>
      <c r="B1751" s="2" t="s">
        <v>2</v>
      </c>
      <c r="F1751" t="s">
        <v>19</v>
      </c>
      <c r="H1751">
        <v>1</v>
      </c>
    </row>
    <row r="1752" spans="1:8" x14ac:dyDescent="0.3">
      <c r="A1752" t="s">
        <v>43</v>
      </c>
      <c r="B1752" s="2" t="s">
        <v>4</v>
      </c>
      <c r="F1752" t="s">
        <v>19</v>
      </c>
      <c r="H1752">
        <v>3</v>
      </c>
    </row>
    <row r="1753" spans="1:8" x14ac:dyDescent="0.3">
      <c r="A1753" t="s">
        <v>43</v>
      </c>
      <c r="B1753" s="2" t="s">
        <v>2</v>
      </c>
      <c r="F1753" t="s">
        <v>65</v>
      </c>
      <c r="H1753">
        <v>3</v>
      </c>
    </row>
    <row r="1754" spans="1:8" x14ac:dyDescent="0.3">
      <c r="A1754" t="s">
        <v>43</v>
      </c>
      <c r="B1754" s="2" t="s">
        <v>4</v>
      </c>
      <c r="F1754" t="s">
        <v>65</v>
      </c>
      <c r="H1754">
        <v>1</v>
      </c>
    </row>
    <row r="1755" spans="1:8" x14ac:dyDescent="0.3">
      <c r="A1755" t="s">
        <v>43</v>
      </c>
      <c r="B1755" s="2" t="s">
        <v>2</v>
      </c>
      <c r="F1755" t="s">
        <v>66</v>
      </c>
      <c r="H1755">
        <v>2</v>
      </c>
    </row>
    <row r="1756" spans="1:8" x14ac:dyDescent="0.3">
      <c r="A1756" t="s">
        <v>43</v>
      </c>
      <c r="B1756" s="2" t="s">
        <v>4</v>
      </c>
      <c r="G1756" t="s">
        <v>68</v>
      </c>
      <c r="H1756">
        <v>38</v>
      </c>
    </row>
    <row r="1757" spans="1:8" x14ac:dyDescent="0.3">
      <c r="A1757" t="s">
        <v>43</v>
      </c>
      <c r="B1757" s="2" t="s">
        <v>2</v>
      </c>
      <c r="G1757" t="s">
        <v>82</v>
      </c>
      <c r="H1757">
        <v>19</v>
      </c>
    </row>
    <row r="1758" spans="1:8" x14ac:dyDescent="0.3">
      <c r="A1758" t="s">
        <v>43</v>
      </c>
      <c r="B1758" s="2" t="s">
        <v>4</v>
      </c>
      <c r="G1758" t="s">
        <v>82</v>
      </c>
      <c r="H1758">
        <v>2</v>
      </c>
    </row>
    <row r="1759" spans="1:8" x14ac:dyDescent="0.3">
      <c r="A1759" t="s">
        <v>43</v>
      </c>
      <c r="B1759" s="2" t="s">
        <v>2</v>
      </c>
      <c r="G1759" t="s">
        <v>83</v>
      </c>
      <c r="H1759">
        <v>17</v>
      </c>
    </row>
    <row r="1760" spans="1:8" x14ac:dyDescent="0.3">
      <c r="A1760" t="s">
        <v>43</v>
      </c>
      <c r="B1760" s="2" t="s">
        <v>2</v>
      </c>
      <c r="G1760" t="s">
        <v>69</v>
      </c>
      <c r="H1760">
        <v>17</v>
      </c>
    </row>
    <row r="1761" spans="1:8" x14ac:dyDescent="0.3">
      <c r="A1761" t="s">
        <v>43</v>
      </c>
      <c r="B1761" s="2" t="s">
        <v>4</v>
      </c>
      <c r="G1761" t="s">
        <v>69</v>
      </c>
      <c r="H1761">
        <v>12</v>
      </c>
    </row>
    <row r="1762" spans="1:8" x14ac:dyDescent="0.3">
      <c r="A1762" t="s">
        <v>43</v>
      </c>
      <c r="B1762" s="2" t="s">
        <v>2</v>
      </c>
      <c r="G1762" t="s">
        <v>70</v>
      </c>
      <c r="H1762">
        <v>72</v>
      </c>
    </row>
    <row r="1763" spans="1:8" x14ac:dyDescent="0.3">
      <c r="A1763" t="s">
        <v>43</v>
      </c>
      <c r="B1763" s="2" t="s">
        <v>4</v>
      </c>
      <c r="G1763" t="s">
        <v>70</v>
      </c>
      <c r="H1763">
        <v>11</v>
      </c>
    </row>
    <row r="1764" spans="1:8" x14ac:dyDescent="0.3">
      <c r="A1764" t="s">
        <v>43</v>
      </c>
      <c r="B1764" s="2" t="s">
        <v>2</v>
      </c>
      <c r="G1764" t="s">
        <v>84</v>
      </c>
      <c r="H1764">
        <v>29</v>
      </c>
    </row>
    <row r="1765" spans="1:8" x14ac:dyDescent="0.3">
      <c r="A1765" t="s">
        <v>43</v>
      </c>
      <c r="B1765" s="2" t="s">
        <v>4</v>
      </c>
      <c r="G1765" t="s">
        <v>84</v>
      </c>
      <c r="H1765">
        <v>1</v>
      </c>
    </row>
    <row r="1766" spans="1:8" x14ac:dyDescent="0.3">
      <c r="A1766" t="s">
        <v>43</v>
      </c>
      <c r="B1766" s="2" t="s">
        <v>2</v>
      </c>
      <c r="G1766" t="s">
        <v>85</v>
      </c>
      <c r="H1766">
        <v>5</v>
      </c>
    </row>
    <row r="1767" spans="1:8" x14ac:dyDescent="0.3">
      <c r="A1767" t="s">
        <v>43</v>
      </c>
      <c r="B1767" s="2" t="s">
        <v>4</v>
      </c>
      <c r="G1767" t="s">
        <v>85</v>
      </c>
      <c r="H1767">
        <v>2</v>
      </c>
    </row>
    <row r="1768" spans="1:8" x14ac:dyDescent="0.3">
      <c r="A1768" t="s">
        <v>43</v>
      </c>
      <c r="B1768" s="2" t="s">
        <v>2</v>
      </c>
      <c r="G1768" t="s">
        <v>71</v>
      </c>
      <c r="H1768">
        <v>42</v>
      </c>
    </row>
    <row r="1769" spans="1:8" x14ac:dyDescent="0.3">
      <c r="A1769" t="s">
        <v>43</v>
      </c>
      <c r="B1769" s="2" t="s">
        <v>2</v>
      </c>
      <c r="G1769" t="s">
        <v>72</v>
      </c>
      <c r="H1769">
        <v>25</v>
      </c>
    </row>
    <row r="1770" spans="1:8" x14ac:dyDescent="0.3">
      <c r="A1770" t="s">
        <v>43</v>
      </c>
      <c r="B1770" s="2" t="s">
        <v>4</v>
      </c>
      <c r="G1770" t="s">
        <v>72</v>
      </c>
      <c r="H1770">
        <v>1</v>
      </c>
    </row>
    <row r="1771" spans="1:8" x14ac:dyDescent="0.3">
      <c r="A1771" t="s">
        <v>44</v>
      </c>
      <c r="B1771" s="2" t="s">
        <v>2</v>
      </c>
      <c r="C1771" s="4" t="s">
        <v>13</v>
      </c>
      <c r="H1771" s="3">
        <v>189</v>
      </c>
    </row>
    <row r="1772" spans="1:8" x14ac:dyDescent="0.3">
      <c r="A1772" t="s">
        <v>44</v>
      </c>
      <c r="B1772" s="2" t="s">
        <v>4</v>
      </c>
      <c r="C1772" s="4" t="s">
        <v>13</v>
      </c>
      <c r="H1772" s="3">
        <v>208</v>
      </c>
    </row>
    <row r="1773" spans="1:8" x14ac:dyDescent="0.3">
      <c r="A1773" t="s">
        <v>44</v>
      </c>
      <c r="B1773" s="2" t="s">
        <v>4</v>
      </c>
      <c r="C1773" s="4" t="s">
        <v>104</v>
      </c>
      <c r="H1773" s="3">
        <f>425+12</f>
        <v>437</v>
      </c>
    </row>
    <row r="1774" spans="1:8" x14ac:dyDescent="0.3">
      <c r="A1774" t="s">
        <v>44</v>
      </c>
      <c r="B1774" s="2" t="s">
        <v>2</v>
      </c>
      <c r="C1774" s="4" t="s">
        <v>104</v>
      </c>
      <c r="H1774" s="3">
        <f>394+40</f>
        <v>434</v>
      </c>
    </row>
    <row r="1775" spans="1:8" x14ac:dyDescent="0.3">
      <c r="A1775" t="s">
        <v>44</v>
      </c>
      <c r="B1775" s="2" t="s">
        <v>2</v>
      </c>
      <c r="C1775" s="4" t="s">
        <v>7</v>
      </c>
      <c r="H1775" s="3">
        <v>10098</v>
      </c>
    </row>
    <row r="1776" spans="1:8" x14ac:dyDescent="0.3">
      <c r="A1776" t="s">
        <v>44</v>
      </c>
      <c r="B1776" s="2" t="s">
        <v>4</v>
      </c>
      <c r="C1776" s="4" t="s">
        <v>7</v>
      </c>
      <c r="H1776" s="3">
        <f>3516-74</f>
        <v>3442</v>
      </c>
    </row>
    <row r="1777" spans="1:8" x14ac:dyDescent="0.3">
      <c r="A1777" t="s">
        <v>44</v>
      </c>
      <c r="B1777" s="2" t="s">
        <v>56</v>
      </c>
      <c r="C1777" s="4" t="s">
        <v>7</v>
      </c>
      <c r="H1777" s="3">
        <v>16</v>
      </c>
    </row>
    <row r="1778" spans="1:8" x14ac:dyDescent="0.3">
      <c r="A1778" t="s">
        <v>44</v>
      </c>
      <c r="B1778" s="2" t="s">
        <v>2</v>
      </c>
      <c r="C1778" s="4" t="s">
        <v>103</v>
      </c>
      <c r="H1778" s="3">
        <f>65+3219</f>
        <v>3284</v>
      </c>
    </row>
    <row r="1779" spans="1:8" x14ac:dyDescent="0.3">
      <c r="A1779" t="s">
        <v>44</v>
      </c>
      <c r="B1779" s="2" t="s">
        <v>4</v>
      </c>
      <c r="C1779" s="4" t="s">
        <v>103</v>
      </c>
      <c r="H1779" s="3">
        <f>1423+46</f>
        <v>1469</v>
      </c>
    </row>
    <row r="1780" spans="1:8" x14ac:dyDescent="0.3">
      <c r="A1780" t="s">
        <v>44</v>
      </c>
      <c r="B1780" s="2" t="s">
        <v>2</v>
      </c>
      <c r="C1780" s="4" t="s">
        <v>79</v>
      </c>
      <c r="H1780" s="3">
        <v>46</v>
      </c>
    </row>
    <row r="1781" spans="1:8" x14ac:dyDescent="0.3">
      <c r="A1781" t="s">
        <v>44</v>
      </c>
      <c r="B1781" s="2" t="s">
        <v>4</v>
      </c>
      <c r="C1781" s="4" t="s">
        <v>79</v>
      </c>
      <c r="H1781" s="3">
        <v>11</v>
      </c>
    </row>
    <row r="1782" spans="1:8" x14ac:dyDescent="0.3">
      <c r="A1782" t="s">
        <v>44</v>
      </c>
      <c r="B1782" s="2" t="s">
        <v>2</v>
      </c>
      <c r="C1782" s="4" t="s">
        <v>105</v>
      </c>
      <c r="H1782" s="3">
        <v>143</v>
      </c>
    </row>
    <row r="1783" spans="1:8" x14ac:dyDescent="0.3">
      <c r="A1783" t="s">
        <v>44</v>
      </c>
      <c r="B1783" s="2" t="s">
        <v>4</v>
      </c>
      <c r="C1783" s="4" t="s">
        <v>105</v>
      </c>
      <c r="H1783" s="3">
        <v>18</v>
      </c>
    </row>
    <row r="1784" spans="1:8" x14ac:dyDescent="0.3">
      <c r="A1784" t="s">
        <v>44</v>
      </c>
      <c r="B1784" s="2" t="s">
        <v>2</v>
      </c>
      <c r="C1784" s="4" t="s">
        <v>58</v>
      </c>
      <c r="H1784" s="3">
        <v>6</v>
      </c>
    </row>
    <row r="1785" spans="1:8" x14ac:dyDescent="0.3">
      <c r="A1785" t="s">
        <v>44</v>
      </c>
      <c r="B1785" s="2" t="s">
        <v>2</v>
      </c>
      <c r="C1785" s="4" t="s">
        <v>59</v>
      </c>
      <c r="H1785" s="3">
        <v>19</v>
      </c>
    </row>
    <row r="1786" spans="1:8" x14ac:dyDescent="0.3">
      <c r="A1786" t="s">
        <v>44</v>
      </c>
      <c r="B1786" s="2" t="s">
        <v>4</v>
      </c>
      <c r="C1786" s="4" t="s">
        <v>59</v>
      </c>
      <c r="H1786" s="3">
        <v>14</v>
      </c>
    </row>
    <row r="1787" spans="1:8" x14ac:dyDescent="0.3">
      <c r="A1787" t="s">
        <v>44</v>
      </c>
      <c r="B1787" s="2" t="s">
        <v>2</v>
      </c>
      <c r="D1787" t="s">
        <v>81</v>
      </c>
      <c r="H1787">
        <v>376</v>
      </c>
    </row>
    <row r="1788" spans="1:8" x14ac:dyDescent="0.3">
      <c r="A1788" t="s">
        <v>44</v>
      </c>
      <c r="B1788" s="2" t="s">
        <v>4</v>
      </c>
      <c r="D1788" t="s">
        <v>81</v>
      </c>
      <c r="H1788">
        <v>111</v>
      </c>
    </row>
    <row r="1789" spans="1:8" x14ac:dyDescent="0.3">
      <c r="A1789" t="s">
        <v>44</v>
      </c>
      <c r="B1789" s="2" t="s">
        <v>2</v>
      </c>
      <c r="D1789" t="s">
        <v>73</v>
      </c>
      <c r="H1789">
        <v>1</v>
      </c>
    </row>
    <row r="1790" spans="1:8" x14ac:dyDescent="0.3">
      <c r="A1790" t="s">
        <v>44</v>
      </c>
      <c r="B1790" s="2" t="s">
        <v>4</v>
      </c>
      <c r="D1790" t="s">
        <v>73</v>
      </c>
      <c r="H1790">
        <v>27</v>
      </c>
    </row>
    <row r="1791" spans="1:8" x14ac:dyDescent="0.3">
      <c r="A1791" t="s">
        <v>44</v>
      </c>
      <c r="B1791" s="2" t="s">
        <v>2</v>
      </c>
      <c r="D1791" t="s">
        <v>74</v>
      </c>
      <c r="H1791">
        <v>30</v>
      </c>
    </row>
    <row r="1792" spans="1:8" x14ac:dyDescent="0.3">
      <c r="A1792" t="s">
        <v>44</v>
      </c>
      <c r="B1792" s="2" t="s">
        <v>4</v>
      </c>
      <c r="D1792" t="s">
        <v>74</v>
      </c>
      <c r="H1792">
        <v>19</v>
      </c>
    </row>
    <row r="1793" spans="1:8" x14ac:dyDescent="0.3">
      <c r="A1793" t="s">
        <v>44</v>
      </c>
      <c r="B1793" s="2" t="s">
        <v>2</v>
      </c>
      <c r="D1793" t="s">
        <v>3</v>
      </c>
      <c r="H1793">
        <v>14</v>
      </c>
    </row>
    <row r="1794" spans="1:8" x14ac:dyDescent="0.3">
      <c r="A1794" t="s">
        <v>44</v>
      </c>
      <c r="B1794" s="2" t="s">
        <v>4</v>
      </c>
      <c r="D1794" t="s">
        <v>3</v>
      </c>
      <c r="H1794">
        <v>5</v>
      </c>
    </row>
    <row r="1795" spans="1:8" x14ac:dyDescent="0.3">
      <c r="A1795" t="s">
        <v>44</v>
      </c>
      <c r="B1795" s="2" t="s">
        <v>2</v>
      </c>
      <c r="D1795" t="s">
        <v>9</v>
      </c>
      <c r="H1795">
        <v>49</v>
      </c>
    </row>
    <row r="1796" spans="1:8" x14ac:dyDescent="0.3">
      <c r="A1796" t="s">
        <v>44</v>
      </c>
      <c r="B1796" s="2" t="s">
        <v>4</v>
      </c>
      <c r="D1796" t="s">
        <v>9</v>
      </c>
      <c r="H1796">
        <v>72</v>
      </c>
    </row>
    <row r="1797" spans="1:8" x14ac:dyDescent="0.3">
      <c r="A1797" t="s">
        <v>44</v>
      </c>
      <c r="B1797" s="2" t="s">
        <v>2</v>
      </c>
      <c r="D1797" t="s">
        <v>75</v>
      </c>
      <c r="H1797">
        <v>47</v>
      </c>
    </row>
    <row r="1798" spans="1:8" x14ac:dyDescent="0.3">
      <c r="A1798" t="s">
        <v>44</v>
      </c>
      <c r="B1798" s="2" t="s">
        <v>4</v>
      </c>
      <c r="D1798" t="s">
        <v>75</v>
      </c>
      <c r="H1798">
        <v>40</v>
      </c>
    </row>
    <row r="1799" spans="1:8" x14ac:dyDescent="0.3">
      <c r="A1799" t="s">
        <v>44</v>
      </c>
      <c r="B1799" s="2" t="s">
        <v>2</v>
      </c>
      <c r="D1799" t="s">
        <v>11</v>
      </c>
      <c r="H1799">
        <v>4626</v>
      </c>
    </row>
    <row r="1800" spans="1:8" x14ac:dyDescent="0.3">
      <c r="A1800" t="s">
        <v>44</v>
      </c>
      <c r="B1800" s="2" t="s">
        <v>4</v>
      </c>
      <c r="D1800" t="s">
        <v>11</v>
      </c>
      <c r="H1800">
        <v>2187</v>
      </c>
    </row>
    <row r="1801" spans="1:8" x14ac:dyDescent="0.3">
      <c r="A1801" t="s">
        <v>44</v>
      </c>
      <c r="B1801" s="2" t="s">
        <v>56</v>
      </c>
      <c r="D1801" t="s">
        <v>11</v>
      </c>
      <c r="H1801">
        <v>7</v>
      </c>
    </row>
    <row r="1802" spans="1:8" x14ac:dyDescent="0.3">
      <c r="A1802" t="s">
        <v>44</v>
      </c>
      <c r="B1802" s="2" t="s">
        <v>2</v>
      </c>
      <c r="D1802" t="s">
        <v>80</v>
      </c>
      <c r="H1802">
        <v>4447</v>
      </c>
    </row>
    <row r="1803" spans="1:8" x14ac:dyDescent="0.3">
      <c r="A1803" t="s">
        <v>44</v>
      </c>
      <c r="B1803" s="2" t="s">
        <v>4</v>
      </c>
      <c r="D1803" t="s">
        <v>80</v>
      </c>
      <c r="H1803">
        <v>2263</v>
      </c>
    </row>
    <row r="1804" spans="1:8" x14ac:dyDescent="0.3">
      <c r="A1804" t="s">
        <v>44</v>
      </c>
      <c r="B1804" s="2" t="s">
        <v>56</v>
      </c>
      <c r="D1804" t="s">
        <v>80</v>
      </c>
      <c r="H1804">
        <v>5</v>
      </c>
    </row>
    <row r="1805" spans="1:8" x14ac:dyDescent="0.3">
      <c r="A1805" t="s">
        <v>44</v>
      </c>
      <c r="B1805" s="2" t="s">
        <v>2</v>
      </c>
      <c r="D1805" t="s">
        <v>8</v>
      </c>
      <c r="H1805">
        <v>388</v>
      </c>
    </row>
    <row r="1806" spans="1:8" x14ac:dyDescent="0.3">
      <c r="A1806" t="s">
        <v>44</v>
      </c>
      <c r="B1806" s="2" t="s">
        <v>4</v>
      </c>
      <c r="D1806" t="s">
        <v>8</v>
      </c>
      <c r="H1806">
        <v>212</v>
      </c>
    </row>
    <row r="1807" spans="1:8" x14ac:dyDescent="0.3">
      <c r="A1807" t="s">
        <v>44</v>
      </c>
      <c r="B1807" s="2" t="s">
        <v>2</v>
      </c>
      <c r="D1807" t="s">
        <v>76</v>
      </c>
      <c r="H1807">
        <v>2084</v>
      </c>
    </row>
    <row r="1808" spans="1:8" x14ac:dyDescent="0.3">
      <c r="A1808" t="s">
        <v>44</v>
      </c>
      <c r="B1808" s="2" t="s">
        <v>4</v>
      </c>
      <c r="D1808" t="s">
        <v>76</v>
      </c>
      <c r="H1808">
        <v>15</v>
      </c>
    </row>
    <row r="1809" spans="1:8" x14ac:dyDescent="0.3">
      <c r="A1809" t="s">
        <v>44</v>
      </c>
      <c r="B1809" s="2" t="s">
        <v>56</v>
      </c>
      <c r="D1809" t="s">
        <v>76</v>
      </c>
      <c r="H1809">
        <v>1</v>
      </c>
    </row>
    <row r="1810" spans="1:8" x14ac:dyDescent="0.3">
      <c r="A1810" t="s">
        <v>44</v>
      </c>
      <c r="B1810" s="2" t="s">
        <v>2</v>
      </c>
      <c r="D1810" t="s">
        <v>10</v>
      </c>
      <c r="H1810">
        <v>13</v>
      </c>
    </row>
    <row r="1811" spans="1:8" x14ac:dyDescent="0.3">
      <c r="A1811" t="s">
        <v>44</v>
      </c>
      <c r="B1811" s="2" t="s">
        <v>4</v>
      </c>
      <c r="D1811" t="s">
        <v>10</v>
      </c>
      <c r="H1811">
        <v>4</v>
      </c>
    </row>
    <row r="1812" spans="1:8" x14ac:dyDescent="0.3">
      <c r="A1812" t="s">
        <v>44</v>
      </c>
      <c r="B1812" s="2" t="s">
        <v>2</v>
      </c>
      <c r="D1812" t="s">
        <v>5</v>
      </c>
      <c r="H1812">
        <v>1</v>
      </c>
    </row>
    <row r="1813" spans="1:8" x14ac:dyDescent="0.3">
      <c r="A1813" t="s">
        <v>44</v>
      </c>
      <c r="B1813" s="2" t="s">
        <v>2</v>
      </c>
      <c r="D1813" t="s">
        <v>14</v>
      </c>
      <c r="H1813">
        <v>371</v>
      </c>
    </row>
    <row r="1814" spans="1:8" x14ac:dyDescent="0.3">
      <c r="A1814" t="s">
        <v>44</v>
      </c>
      <c r="B1814" s="2" t="s">
        <v>4</v>
      </c>
      <c r="D1814" t="s">
        <v>14</v>
      </c>
      <c r="H1814">
        <v>155</v>
      </c>
    </row>
    <row r="1815" spans="1:8" x14ac:dyDescent="0.3">
      <c r="A1815" t="s">
        <v>44</v>
      </c>
      <c r="B1815" s="2" t="s">
        <v>56</v>
      </c>
      <c r="D1815" t="s">
        <v>14</v>
      </c>
      <c r="H1815">
        <v>1</v>
      </c>
    </row>
    <row r="1816" spans="1:8" x14ac:dyDescent="0.3">
      <c r="A1816" t="s">
        <v>44</v>
      </c>
      <c r="B1816" s="2" t="s">
        <v>2</v>
      </c>
      <c r="D1816" t="s">
        <v>15</v>
      </c>
      <c r="H1816">
        <v>12</v>
      </c>
    </row>
    <row r="1817" spans="1:8" x14ac:dyDescent="0.3">
      <c r="A1817" t="s">
        <v>44</v>
      </c>
      <c r="B1817" s="2" t="s">
        <v>4</v>
      </c>
      <c r="D1817" t="s">
        <v>15</v>
      </c>
      <c r="H1817">
        <v>6</v>
      </c>
    </row>
    <row r="1818" spans="1:8" x14ac:dyDescent="0.3">
      <c r="A1818" t="s">
        <v>44</v>
      </c>
      <c r="B1818" s="2" t="s">
        <v>2</v>
      </c>
      <c r="D1818" t="s">
        <v>17</v>
      </c>
      <c r="H1818">
        <v>174</v>
      </c>
    </row>
    <row r="1819" spans="1:8" x14ac:dyDescent="0.3">
      <c r="A1819" t="s">
        <v>44</v>
      </c>
      <c r="B1819" s="2" t="s">
        <v>4</v>
      </c>
      <c r="D1819" t="s">
        <v>17</v>
      </c>
      <c r="H1819">
        <v>11</v>
      </c>
    </row>
    <row r="1820" spans="1:8" x14ac:dyDescent="0.3">
      <c r="A1820" t="s">
        <v>44</v>
      </c>
      <c r="B1820" s="2" t="s">
        <v>2</v>
      </c>
      <c r="D1820" t="s">
        <v>6</v>
      </c>
      <c r="H1820">
        <v>46</v>
      </c>
    </row>
    <row r="1821" spans="1:8" x14ac:dyDescent="0.3">
      <c r="A1821" t="s">
        <v>44</v>
      </c>
      <c r="B1821" s="2" t="s">
        <v>4</v>
      </c>
      <c r="D1821" t="s">
        <v>6</v>
      </c>
      <c r="H1821">
        <v>17</v>
      </c>
    </row>
    <row r="1822" spans="1:8" x14ac:dyDescent="0.3">
      <c r="A1822" t="s">
        <v>44</v>
      </c>
      <c r="B1822" s="2" t="s">
        <v>4</v>
      </c>
      <c r="D1822" t="s">
        <v>12</v>
      </c>
      <c r="H1822">
        <v>1</v>
      </c>
    </row>
    <row r="1823" spans="1:8" x14ac:dyDescent="0.3">
      <c r="A1823" t="s">
        <v>44</v>
      </c>
      <c r="B1823" s="2" t="s">
        <v>4</v>
      </c>
      <c r="D1823" t="s">
        <v>77</v>
      </c>
      <c r="H1823">
        <v>1</v>
      </c>
    </row>
    <row r="1824" spans="1:8" x14ac:dyDescent="0.3">
      <c r="A1824" t="s">
        <v>44</v>
      </c>
      <c r="B1824" s="2" t="s">
        <v>2</v>
      </c>
      <c r="D1824" t="s">
        <v>16</v>
      </c>
      <c r="H1824">
        <v>811</v>
      </c>
    </row>
    <row r="1825" spans="1:8" x14ac:dyDescent="0.3">
      <c r="A1825" t="s">
        <v>44</v>
      </c>
      <c r="B1825" s="2" t="s">
        <v>4</v>
      </c>
      <c r="D1825" t="s">
        <v>16</v>
      </c>
      <c r="H1825">
        <v>133</v>
      </c>
    </row>
    <row r="1826" spans="1:8" x14ac:dyDescent="0.3">
      <c r="A1826" t="s">
        <v>44</v>
      </c>
      <c r="B1826" s="2" t="s">
        <v>2</v>
      </c>
      <c r="D1826" t="s">
        <v>78</v>
      </c>
      <c r="H1826">
        <f>589+140</f>
        <v>729</v>
      </c>
    </row>
    <row r="1827" spans="1:8" x14ac:dyDescent="0.3">
      <c r="A1827" t="s">
        <v>44</v>
      </c>
      <c r="B1827" s="2" t="s">
        <v>4</v>
      </c>
      <c r="D1827" t="s">
        <v>78</v>
      </c>
      <c r="H1827">
        <f>286+34</f>
        <v>320</v>
      </c>
    </row>
    <row r="1828" spans="1:8" x14ac:dyDescent="0.3">
      <c r="A1828" t="s">
        <v>44</v>
      </c>
      <c r="B1828" s="2" t="s">
        <v>56</v>
      </c>
      <c r="D1828" t="s">
        <v>78</v>
      </c>
      <c r="H1828">
        <v>2</v>
      </c>
    </row>
    <row r="1829" spans="1:8" x14ac:dyDescent="0.3">
      <c r="A1829" t="s">
        <v>44</v>
      </c>
      <c r="B1829" s="2" t="s">
        <v>2</v>
      </c>
      <c r="E1829" t="s">
        <v>21</v>
      </c>
      <c r="H1829">
        <v>1330</v>
      </c>
    </row>
    <row r="1830" spans="1:8" x14ac:dyDescent="0.3">
      <c r="A1830" t="s">
        <v>44</v>
      </c>
      <c r="B1830" s="2" t="s">
        <v>4</v>
      </c>
      <c r="E1830" t="s">
        <v>21</v>
      </c>
      <c r="H1830">
        <v>649</v>
      </c>
    </row>
    <row r="1831" spans="1:8" x14ac:dyDescent="0.3">
      <c r="A1831" t="s">
        <v>44</v>
      </c>
      <c r="B1831" s="2" t="s">
        <v>56</v>
      </c>
      <c r="E1831" t="s">
        <v>21</v>
      </c>
      <c r="H1831">
        <v>1</v>
      </c>
    </row>
    <row r="1832" spans="1:8" x14ac:dyDescent="0.3">
      <c r="A1832" t="s">
        <v>44</v>
      </c>
      <c r="B1832" s="2" t="s">
        <v>2</v>
      </c>
      <c r="E1832" t="s">
        <v>91</v>
      </c>
      <c r="H1832">
        <f>3107+2164</f>
        <v>5271</v>
      </c>
    </row>
    <row r="1833" spans="1:8" x14ac:dyDescent="0.3">
      <c r="A1833" t="s">
        <v>44</v>
      </c>
      <c r="B1833" s="2" t="s">
        <v>4</v>
      </c>
      <c r="E1833" t="s">
        <v>91</v>
      </c>
      <c r="H1833">
        <f>895+739</f>
        <v>1634</v>
      </c>
    </row>
    <row r="1834" spans="1:8" x14ac:dyDescent="0.3">
      <c r="A1834" t="s">
        <v>44</v>
      </c>
      <c r="B1834" s="2" t="s">
        <v>56</v>
      </c>
      <c r="E1834" t="s">
        <v>91</v>
      </c>
      <c r="H1834">
        <v>5</v>
      </c>
    </row>
    <row r="1835" spans="1:8" x14ac:dyDescent="0.3">
      <c r="A1835" t="s">
        <v>44</v>
      </c>
      <c r="B1835" s="2" t="s">
        <v>2</v>
      </c>
      <c r="E1835" t="s">
        <v>90</v>
      </c>
      <c r="H1835">
        <v>3746</v>
      </c>
    </row>
    <row r="1836" spans="1:8" x14ac:dyDescent="0.3">
      <c r="A1836" t="s">
        <v>44</v>
      </c>
      <c r="B1836" s="2" t="s">
        <v>4</v>
      </c>
      <c r="E1836" t="s">
        <v>90</v>
      </c>
      <c r="H1836">
        <v>1358</v>
      </c>
    </row>
    <row r="1837" spans="1:8" x14ac:dyDescent="0.3">
      <c r="A1837" t="s">
        <v>44</v>
      </c>
      <c r="B1837" s="2" t="s">
        <v>56</v>
      </c>
      <c r="E1837" t="s">
        <v>90</v>
      </c>
      <c r="H1837">
        <v>5</v>
      </c>
    </row>
    <row r="1838" spans="1:8" x14ac:dyDescent="0.3">
      <c r="A1838" t="s">
        <v>44</v>
      </c>
      <c r="B1838" s="2" t="s">
        <v>2</v>
      </c>
      <c r="E1838" t="s">
        <v>89</v>
      </c>
      <c r="H1838">
        <v>1717</v>
      </c>
    </row>
    <row r="1839" spans="1:8" x14ac:dyDescent="0.3">
      <c r="A1839" t="s">
        <v>44</v>
      </c>
      <c r="B1839" s="2" t="s">
        <v>4</v>
      </c>
      <c r="E1839" t="s">
        <v>89</v>
      </c>
      <c r="H1839">
        <v>1006</v>
      </c>
    </row>
    <row r="1840" spans="1:8" x14ac:dyDescent="0.3">
      <c r="A1840" t="s">
        <v>44</v>
      </c>
      <c r="B1840" s="2" t="s">
        <v>56</v>
      </c>
      <c r="E1840" t="s">
        <v>89</v>
      </c>
      <c r="H1840">
        <v>2</v>
      </c>
    </row>
    <row r="1841" spans="1:8" x14ac:dyDescent="0.3">
      <c r="A1841" t="s">
        <v>44</v>
      </c>
      <c r="B1841" s="2" t="s">
        <v>2</v>
      </c>
      <c r="E1841" t="s">
        <v>60</v>
      </c>
      <c r="H1841">
        <v>644</v>
      </c>
    </row>
    <row r="1842" spans="1:8" x14ac:dyDescent="0.3">
      <c r="A1842" t="s">
        <v>44</v>
      </c>
      <c r="B1842" s="2" t="s">
        <v>4</v>
      </c>
      <c r="E1842" t="s">
        <v>60</v>
      </c>
      <c r="H1842">
        <v>140</v>
      </c>
    </row>
    <row r="1843" spans="1:8" x14ac:dyDescent="0.3">
      <c r="A1843" t="s">
        <v>44</v>
      </c>
      <c r="B1843" s="2" t="s">
        <v>56</v>
      </c>
      <c r="E1843" t="s">
        <v>60</v>
      </c>
      <c r="H1843">
        <v>2</v>
      </c>
    </row>
    <row r="1844" spans="1:8" x14ac:dyDescent="0.3">
      <c r="A1844" t="s">
        <v>44</v>
      </c>
      <c r="B1844" s="2" t="s">
        <v>2</v>
      </c>
      <c r="E1844" t="s">
        <v>61</v>
      </c>
      <c r="H1844">
        <v>986</v>
      </c>
    </row>
    <row r="1845" spans="1:8" x14ac:dyDescent="0.3">
      <c r="A1845" t="s">
        <v>44</v>
      </c>
      <c r="B1845" s="2" t="s">
        <v>4</v>
      </c>
      <c r="E1845" t="s">
        <v>61</v>
      </c>
      <c r="H1845">
        <v>638</v>
      </c>
    </row>
    <row r="1846" spans="1:8" x14ac:dyDescent="0.3">
      <c r="A1846" t="s">
        <v>44</v>
      </c>
      <c r="B1846" s="2" t="s">
        <v>56</v>
      </c>
      <c r="E1846" t="s">
        <v>61</v>
      </c>
      <c r="H1846">
        <v>1</v>
      </c>
    </row>
    <row r="1847" spans="1:8" x14ac:dyDescent="0.3">
      <c r="A1847" t="s">
        <v>44</v>
      </c>
      <c r="B1847" s="2" t="s">
        <v>2</v>
      </c>
      <c r="E1847" t="s">
        <v>92</v>
      </c>
      <c r="H1847">
        <v>183</v>
      </c>
    </row>
    <row r="1848" spans="1:8" x14ac:dyDescent="0.3">
      <c r="A1848" t="s">
        <v>44</v>
      </c>
      <c r="B1848" s="2" t="s">
        <v>4</v>
      </c>
      <c r="E1848" t="s">
        <v>92</v>
      </c>
      <c r="H1848">
        <v>85</v>
      </c>
    </row>
    <row r="1849" spans="1:8" x14ac:dyDescent="0.3">
      <c r="A1849" t="s">
        <v>44</v>
      </c>
      <c r="B1849" s="2" t="s">
        <v>2</v>
      </c>
      <c r="E1849" t="s">
        <v>62</v>
      </c>
      <c r="H1849">
        <v>342</v>
      </c>
    </row>
    <row r="1850" spans="1:8" x14ac:dyDescent="0.3">
      <c r="A1850" t="s">
        <v>44</v>
      </c>
      <c r="B1850" s="2" t="s">
        <v>4</v>
      </c>
      <c r="E1850" t="s">
        <v>62</v>
      </c>
      <c r="H1850">
        <v>89</v>
      </c>
    </row>
    <row r="1851" spans="1:8" x14ac:dyDescent="0.3">
      <c r="A1851" t="s">
        <v>44</v>
      </c>
      <c r="B1851" s="2" t="s">
        <v>2</v>
      </c>
      <c r="F1851" t="s">
        <v>64</v>
      </c>
      <c r="H1851">
        <v>3588</v>
      </c>
    </row>
    <row r="1852" spans="1:8" x14ac:dyDescent="0.3">
      <c r="A1852" t="s">
        <v>44</v>
      </c>
      <c r="B1852" s="2" t="s">
        <v>4</v>
      </c>
      <c r="F1852" t="s">
        <v>64</v>
      </c>
      <c r="H1852">
        <v>1361</v>
      </c>
    </row>
    <row r="1853" spans="1:8" x14ac:dyDescent="0.3">
      <c r="A1853" t="s">
        <v>44</v>
      </c>
      <c r="B1853" s="2" t="s">
        <v>56</v>
      </c>
      <c r="F1853" t="s">
        <v>64</v>
      </c>
      <c r="H1853">
        <v>14</v>
      </c>
    </row>
    <row r="1854" spans="1:8" x14ac:dyDescent="0.3">
      <c r="A1854" t="s">
        <v>44</v>
      </c>
      <c r="B1854" s="2" t="s">
        <v>2</v>
      </c>
      <c r="F1854" t="s">
        <v>18</v>
      </c>
      <c r="H1854">
        <v>10396</v>
      </c>
    </row>
    <row r="1855" spans="1:8" x14ac:dyDescent="0.3">
      <c r="A1855" t="s">
        <v>44</v>
      </c>
      <c r="B1855" s="2" t="s">
        <v>4</v>
      </c>
      <c r="F1855" t="s">
        <v>18</v>
      </c>
      <c r="H1855">
        <v>4092</v>
      </c>
    </row>
    <row r="1856" spans="1:8" x14ac:dyDescent="0.3">
      <c r="A1856" t="s">
        <v>44</v>
      </c>
      <c r="B1856" s="2" t="s">
        <v>56</v>
      </c>
      <c r="F1856" t="s">
        <v>18</v>
      </c>
      <c r="H1856">
        <v>1</v>
      </c>
    </row>
    <row r="1857" spans="1:8" x14ac:dyDescent="0.3">
      <c r="A1857" t="s">
        <v>44</v>
      </c>
      <c r="B1857" s="2" t="s">
        <v>2</v>
      </c>
      <c r="F1857" t="s">
        <v>19</v>
      </c>
      <c r="H1857">
        <v>64</v>
      </c>
    </row>
    <row r="1858" spans="1:8" x14ac:dyDescent="0.3">
      <c r="A1858" t="s">
        <v>44</v>
      </c>
      <c r="B1858" s="2" t="s">
        <v>4</v>
      </c>
      <c r="F1858" t="s">
        <v>19</v>
      </c>
      <c r="H1858">
        <v>102</v>
      </c>
    </row>
    <row r="1859" spans="1:8" x14ac:dyDescent="0.3">
      <c r="A1859" t="s">
        <v>44</v>
      </c>
      <c r="B1859" s="2" t="s">
        <v>2</v>
      </c>
      <c r="F1859" t="s">
        <v>20</v>
      </c>
      <c r="H1859">
        <v>23</v>
      </c>
    </row>
    <row r="1860" spans="1:8" x14ac:dyDescent="0.3">
      <c r="A1860" t="s">
        <v>44</v>
      </c>
      <c r="B1860" s="2" t="s">
        <v>4</v>
      </c>
      <c r="F1860" t="s">
        <v>20</v>
      </c>
      <c r="H1860">
        <v>12</v>
      </c>
    </row>
    <row r="1861" spans="1:8" x14ac:dyDescent="0.3">
      <c r="A1861" t="s">
        <v>44</v>
      </c>
      <c r="B1861" s="2" t="s">
        <v>2</v>
      </c>
      <c r="F1861" t="s">
        <v>65</v>
      </c>
      <c r="H1861">
        <v>61</v>
      </c>
    </row>
    <row r="1862" spans="1:8" x14ac:dyDescent="0.3">
      <c r="A1862" t="s">
        <v>44</v>
      </c>
      <c r="B1862" s="2" t="s">
        <v>4</v>
      </c>
      <c r="F1862" t="s">
        <v>65</v>
      </c>
      <c r="H1862">
        <v>21</v>
      </c>
    </row>
    <row r="1863" spans="1:8" x14ac:dyDescent="0.3">
      <c r="A1863" t="s">
        <v>44</v>
      </c>
      <c r="B1863" s="2" t="s">
        <v>2</v>
      </c>
      <c r="F1863" t="s">
        <v>66</v>
      </c>
      <c r="H1863">
        <v>87</v>
      </c>
    </row>
    <row r="1864" spans="1:8" x14ac:dyDescent="0.3">
      <c r="A1864" t="s">
        <v>44</v>
      </c>
      <c r="B1864" s="2" t="s">
        <v>4</v>
      </c>
      <c r="F1864" t="s">
        <v>66</v>
      </c>
      <c r="H1864">
        <v>11</v>
      </c>
    </row>
    <row r="1865" spans="1:8" x14ac:dyDescent="0.3">
      <c r="A1865" t="s">
        <v>44</v>
      </c>
      <c r="B1865" s="2" t="s">
        <v>56</v>
      </c>
      <c r="F1865" t="s">
        <v>66</v>
      </c>
      <c r="H1865">
        <v>1</v>
      </c>
    </row>
    <row r="1866" spans="1:8" x14ac:dyDescent="0.3">
      <c r="A1866" t="s">
        <v>44</v>
      </c>
      <c r="B1866" s="2" t="s">
        <v>4</v>
      </c>
      <c r="G1866" t="s">
        <v>68</v>
      </c>
      <c r="H1866">
        <v>3093</v>
      </c>
    </row>
    <row r="1867" spans="1:8" x14ac:dyDescent="0.3">
      <c r="A1867" t="s">
        <v>44</v>
      </c>
      <c r="B1867" s="2" t="s">
        <v>2</v>
      </c>
      <c r="G1867" t="s">
        <v>82</v>
      </c>
      <c r="H1867">
        <v>321</v>
      </c>
    </row>
    <row r="1868" spans="1:8" x14ac:dyDescent="0.3">
      <c r="A1868" t="s">
        <v>44</v>
      </c>
      <c r="B1868" s="2" t="s">
        <v>4</v>
      </c>
      <c r="G1868" t="s">
        <v>82</v>
      </c>
      <c r="H1868">
        <v>43</v>
      </c>
    </row>
    <row r="1869" spans="1:8" x14ac:dyDescent="0.3">
      <c r="A1869" t="s">
        <v>44</v>
      </c>
      <c r="B1869" s="2" t="s">
        <v>2</v>
      </c>
      <c r="G1869" t="s">
        <v>83</v>
      </c>
      <c r="H1869">
        <v>1234</v>
      </c>
    </row>
    <row r="1870" spans="1:8" x14ac:dyDescent="0.3">
      <c r="A1870" t="s">
        <v>44</v>
      </c>
      <c r="B1870" s="2" t="s">
        <v>4</v>
      </c>
      <c r="G1870" t="s">
        <v>83</v>
      </c>
      <c r="H1870">
        <v>254</v>
      </c>
    </row>
    <row r="1871" spans="1:8" x14ac:dyDescent="0.3">
      <c r="A1871" t="s">
        <v>44</v>
      </c>
      <c r="B1871" s="2" t="s">
        <v>2</v>
      </c>
      <c r="G1871" t="s">
        <v>69</v>
      </c>
      <c r="H1871">
        <v>583</v>
      </c>
    </row>
    <row r="1872" spans="1:8" x14ac:dyDescent="0.3">
      <c r="A1872" t="s">
        <v>44</v>
      </c>
      <c r="B1872" s="2" t="s">
        <v>4</v>
      </c>
      <c r="G1872" t="s">
        <v>69</v>
      </c>
      <c r="H1872">
        <v>832</v>
      </c>
    </row>
    <row r="1873" spans="1:8" x14ac:dyDescent="0.3">
      <c r="A1873" t="s">
        <v>44</v>
      </c>
      <c r="B1873" s="2" t="s">
        <v>56</v>
      </c>
      <c r="G1873" t="s">
        <v>69</v>
      </c>
      <c r="H1873">
        <v>1</v>
      </c>
    </row>
    <row r="1874" spans="1:8" x14ac:dyDescent="0.3">
      <c r="A1874" t="s">
        <v>44</v>
      </c>
      <c r="B1874" s="2" t="s">
        <v>2</v>
      </c>
      <c r="G1874" t="s">
        <v>70</v>
      </c>
      <c r="H1874">
        <v>1452</v>
      </c>
    </row>
    <row r="1875" spans="1:8" x14ac:dyDescent="0.3">
      <c r="A1875" t="s">
        <v>44</v>
      </c>
      <c r="B1875" s="2" t="s">
        <v>4</v>
      </c>
      <c r="G1875" t="s">
        <v>70</v>
      </c>
      <c r="H1875">
        <v>416</v>
      </c>
    </row>
    <row r="1876" spans="1:8" x14ac:dyDescent="0.3">
      <c r="A1876" t="s">
        <v>44</v>
      </c>
      <c r="B1876" s="2" t="s">
        <v>56</v>
      </c>
      <c r="G1876" t="s">
        <v>70</v>
      </c>
      <c r="H1876">
        <v>7</v>
      </c>
    </row>
    <row r="1877" spans="1:8" x14ac:dyDescent="0.3">
      <c r="A1877" t="s">
        <v>44</v>
      </c>
      <c r="B1877" s="2" t="s">
        <v>2</v>
      </c>
      <c r="G1877" t="s">
        <v>84</v>
      </c>
      <c r="H1877">
        <v>2417</v>
      </c>
    </row>
    <row r="1878" spans="1:8" x14ac:dyDescent="0.3">
      <c r="A1878" t="s">
        <v>44</v>
      </c>
      <c r="B1878" s="2" t="s">
        <v>4</v>
      </c>
      <c r="G1878" t="s">
        <v>84</v>
      </c>
      <c r="H1878">
        <v>130</v>
      </c>
    </row>
    <row r="1879" spans="1:8" x14ac:dyDescent="0.3">
      <c r="A1879" t="s">
        <v>44</v>
      </c>
      <c r="B1879" s="2" t="s">
        <v>2</v>
      </c>
      <c r="G1879" t="s">
        <v>85</v>
      </c>
      <c r="H1879">
        <v>681</v>
      </c>
    </row>
    <row r="1880" spans="1:8" x14ac:dyDescent="0.3">
      <c r="A1880" t="s">
        <v>44</v>
      </c>
      <c r="B1880" s="2" t="s">
        <v>4</v>
      </c>
      <c r="G1880" t="s">
        <v>85</v>
      </c>
      <c r="H1880">
        <v>47</v>
      </c>
    </row>
    <row r="1881" spans="1:8" x14ac:dyDescent="0.3">
      <c r="A1881" t="s">
        <v>44</v>
      </c>
      <c r="B1881" s="2" t="s">
        <v>2</v>
      </c>
      <c r="G1881" t="s">
        <v>71</v>
      </c>
      <c r="H1881">
        <v>7190</v>
      </c>
    </row>
    <row r="1882" spans="1:8" x14ac:dyDescent="0.3">
      <c r="A1882" t="s">
        <v>44</v>
      </c>
      <c r="B1882" s="2" t="s">
        <v>4</v>
      </c>
      <c r="G1882" t="s">
        <v>71</v>
      </c>
      <c r="H1882">
        <v>680</v>
      </c>
    </row>
    <row r="1883" spans="1:8" x14ac:dyDescent="0.3">
      <c r="A1883" t="s">
        <v>44</v>
      </c>
      <c r="B1883" s="2" t="s">
        <v>56</v>
      </c>
      <c r="G1883" t="s">
        <v>71</v>
      </c>
      <c r="H1883">
        <v>6</v>
      </c>
    </row>
    <row r="1884" spans="1:8" x14ac:dyDescent="0.3">
      <c r="A1884" t="s">
        <v>44</v>
      </c>
      <c r="B1884" s="2" t="s">
        <v>2</v>
      </c>
      <c r="G1884" t="s">
        <v>72</v>
      </c>
      <c r="H1884">
        <v>341</v>
      </c>
    </row>
    <row r="1885" spans="1:8" x14ac:dyDescent="0.3">
      <c r="A1885" t="s">
        <v>44</v>
      </c>
      <c r="B1885" s="2" t="s">
        <v>4</v>
      </c>
      <c r="G1885" t="s">
        <v>72</v>
      </c>
      <c r="H1885">
        <v>104</v>
      </c>
    </row>
    <row r="1886" spans="1:8" x14ac:dyDescent="0.3">
      <c r="A1886" t="s">
        <v>44</v>
      </c>
      <c r="B1886" s="2" t="s">
        <v>56</v>
      </c>
      <c r="G1886" t="s">
        <v>72</v>
      </c>
      <c r="H1886">
        <v>2</v>
      </c>
    </row>
    <row r="1887" spans="1:8" x14ac:dyDescent="0.3">
      <c r="A1887" t="s">
        <v>45</v>
      </c>
      <c r="B1887" s="2" t="s">
        <v>2</v>
      </c>
      <c r="C1887" s="4" t="s">
        <v>13</v>
      </c>
      <c r="H1887" s="3">
        <v>679</v>
      </c>
    </row>
    <row r="1888" spans="1:8" x14ac:dyDescent="0.3">
      <c r="A1888" t="s">
        <v>45</v>
      </c>
      <c r="B1888" s="2" t="s">
        <v>4</v>
      </c>
      <c r="C1888" s="4" t="s">
        <v>13</v>
      </c>
      <c r="H1888" s="3">
        <v>144</v>
      </c>
    </row>
    <row r="1889" spans="1:8" x14ac:dyDescent="0.3">
      <c r="A1889" t="s">
        <v>45</v>
      </c>
      <c r="B1889" s="2" t="s">
        <v>2</v>
      </c>
      <c r="C1889" s="4" t="s">
        <v>104</v>
      </c>
      <c r="H1889" s="3">
        <v>147</v>
      </c>
    </row>
    <row r="1890" spans="1:8" x14ac:dyDescent="0.3">
      <c r="A1890" t="s">
        <v>45</v>
      </c>
      <c r="B1890" s="2" t="s">
        <v>4</v>
      </c>
      <c r="C1890" s="4" t="s">
        <v>104</v>
      </c>
      <c r="H1890" s="3">
        <v>50</v>
      </c>
    </row>
    <row r="1891" spans="1:8" x14ac:dyDescent="0.3">
      <c r="A1891" t="s">
        <v>45</v>
      </c>
      <c r="B1891" s="2" t="s">
        <v>2</v>
      </c>
      <c r="C1891" s="4" t="s">
        <v>7</v>
      </c>
      <c r="H1891" s="3">
        <f>4139+6</f>
        <v>4145</v>
      </c>
    </row>
    <row r="1892" spans="1:8" x14ac:dyDescent="0.3">
      <c r="A1892" t="s">
        <v>45</v>
      </c>
      <c r="B1892" s="2" t="s">
        <v>4</v>
      </c>
      <c r="C1892" s="4" t="s">
        <v>7</v>
      </c>
      <c r="H1892" s="3">
        <f>1306-14</f>
        <v>1292</v>
      </c>
    </row>
    <row r="1893" spans="1:8" x14ac:dyDescent="0.3">
      <c r="A1893" t="s">
        <v>45</v>
      </c>
      <c r="B1893" s="2" t="s">
        <v>2</v>
      </c>
      <c r="C1893" s="4" t="s">
        <v>103</v>
      </c>
      <c r="H1893" s="3">
        <v>2104</v>
      </c>
    </row>
    <row r="1894" spans="1:8" x14ac:dyDescent="0.3">
      <c r="A1894" t="s">
        <v>45</v>
      </c>
      <c r="B1894" s="2" t="s">
        <v>4</v>
      </c>
      <c r="C1894" s="4" t="s">
        <v>103</v>
      </c>
      <c r="H1894" s="3">
        <f>628+23</f>
        <v>651</v>
      </c>
    </row>
    <row r="1895" spans="1:8" x14ac:dyDescent="0.3">
      <c r="A1895" t="s">
        <v>45</v>
      </c>
      <c r="B1895" s="2" t="s">
        <v>2</v>
      </c>
      <c r="C1895" s="4" t="s">
        <v>79</v>
      </c>
      <c r="H1895" s="3">
        <v>74</v>
      </c>
    </row>
    <row r="1896" spans="1:8" x14ac:dyDescent="0.3">
      <c r="A1896" t="s">
        <v>45</v>
      </c>
      <c r="B1896" s="2" t="s">
        <v>4</v>
      </c>
      <c r="C1896" s="4" t="s">
        <v>79</v>
      </c>
      <c r="H1896" s="3">
        <v>20</v>
      </c>
    </row>
    <row r="1897" spans="1:8" x14ac:dyDescent="0.3">
      <c r="A1897" t="s">
        <v>45</v>
      </c>
      <c r="B1897" s="2" t="s">
        <v>2</v>
      </c>
      <c r="C1897" s="4" t="s">
        <v>105</v>
      </c>
      <c r="H1897" s="3">
        <v>583</v>
      </c>
    </row>
    <row r="1898" spans="1:8" x14ac:dyDescent="0.3">
      <c r="A1898" t="s">
        <v>45</v>
      </c>
      <c r="B1898" s="2" t="s">
        <v>4</v>
      </c>
      <c r="C1898" s="4" t="s">
        <v>105</v>
      </c>
      <c r="H1898" s="3">
        <v>38</v>
      </c>
    </row>
    <row r="1899" spans="1:8" x14ac:dyDescent="0.3">
      <c r="A1899" t="s">
        <v>45</v>
      </c>
      <c r="B1899" s="2" t="s">
        <v>2</v>
      </c>
      <c r="C1899" s="4" t="s">
        <v>58</v>
      </c>
      <c r="H1899" s="3">
        <v>1</v>
      </c>
    </row>
    <row r="1900" spans="1:8" x14ac:dyDescent="0.3">
      <c r="A1900" t="s">
        <v>45</v>
      </c>
      <c r="B1900" s="2" t="s">
        <v>2</v>
      </c>
      <c r="C1900" s="4" t="s">
        <v>59</v>
      </c>
      <c r="H1900" s="3">
        <v>36</v>
      </c>
    </row>
    <row r="1901" spans="1:8" x14ac:dyDescent="0.3">
      <c r="A1901" t="s">
        <v>45</v>
      </c>
      <c r="B1901" s="2" t="s">
        <v>4</v>
      </c>
      <c r="C1901" s="4" t="s">
        <v>59</v>
      </c>
      <c r="H1901" s="3">
        <v>16</v>
      </c>
    </row>
    <row r="1902" spans="1:8" x14ac:dyDescent="0.3">
      <c r="A1902" t="s">
        <v>45</v>
      </c>
      <c r="B1902" s="2" t="s">
        <v>2</v>
      </c>
      <c r="D1902" t="s">
        <v>81</v>
      </c>
      <c r="H1902">
        <v>57</v>
      </c>
    </row>
    <row r="1903" spans="1:8" x14ac:dyDescent="0.3">
      <c r="A1903" t="s">
        <v>45</v>
      </c>
      <c r="B1903" s="2" t="s">
        <v>4</v>
      </c>
      <c r="D1903" t="s">
        <v>81</v>
      </c>
      <c r="H1903">
        <v>36</v>
      </c>
    </row>
    <row r="1904" spans="1:8" x14ac:dyDescent="0.3">
      <c r="A1904" t="s">
        <v>45</v>
      </c>
      <c r="B1904" s="2" t="s">
        <v>2</v>
      </c>
      <c r="D1904" t="s">
        <v>74</v>
      </c>
      <c r="H1904">
        <v>21</v>
      </c>
    </row>
    <row r="1905" spans="1:8" x14ac:dyDescent="0.3">
      <c r="A1905" t="s">
        <v>45</v>
      </c>
      <c r="B1905" s="2" t="s">
        <v>4</v>
      </c>
      <c r="D1905" t="s">
        <v>74</v>
      </c>
      <c r="H1905">
        <v>15</v>
      </c>
    </row>
    <row r="1906" spans="1:8" x14ac:dyDescent="0.3">
      <c r="A1906" t="s">
        <v>45</v>
      </c>
      <c r="B1906" s="2" t="s">
        <v>2</v>
      </c>
      <c r="D1906" t="s">
        <v>3</v>
      </c>
      <c r="H1906">
        <v>13</v>
      </c>
    </row>
    <row r="1907" spans="1:8" x14ac:dyDescent="0.3">
      <c r="A1907" t="s">
        <v>45</v>
      </c>
      <c r="B1907" s="2" t="s">
        <v>4</v>
      </c>
      <c r="D1907" t="s">
        <v>3</v>
      </c>
      <c r="H1907">
        <v>14</v>
      </c>
    </row>
    <row r="1908" spans="1:8" x14ac:dyDescent="0.3">
      <c r="A1908" t="s">
        <v>45</v>
      </c>
      <c r="B1908" s="2" t="s">
        <v>2</v>
      </c>
      <c r="D1908" t="s">
        <v>9</v>
      </c>
      <c r="H1908">
        <v>41</v>
      </c>
    </row>
    <row r="1909" spans="1:8" x14ac:dyDescent="0.3">
      <c r="A1909" t="s">
        <v>45</v>
      </c>
      <c r="B1909" s="2" t="s">
        <v>4</v>
      </c>
      <c r="D1909" t="s">
        <v>9</v>
      </c>
      <c r="H1909">
        <v>25</v>
      </c>
    </row>
    <row r="1910" spans="1:8" x14ac:dyDescent="0.3">
      <c r="A1910" t="s">
        <v>45</v>
      </c>
      <c r="B1910" s="2" t="s">
        <v>2</v>
      </c>
      <c r="D1910" t="s">
        <v>75</v>
      </c>
      <c r="H1910">
        <v>6</v>
      </c>
    </row>
    <row r="1911" spans="1:8" x14ac:dyDescent="0.3">
      <c r="A1911" t="s">
        <v>45</v>
      </c>
      <c r="B1911" s="2" t="s">
        <v>4</v>
      </c>
      <c r="D1911" t="s">
        <v>75</v>
      </c>
      <c r="H1911">
        <v>2</v>
      </c>
    </row>
    <row r="1912" spans="1:8" x14ac:dyDescent="0.3">
      <c r="A1912" t="s">
        <v>45</v>
      </c>
      <c r="B1912" s="2" t="s">
        <v>2</v>
      </c>
      <c r="D1912" t="s">
        <v>11</v>
      </c>
      <c r="H1912">
        <v>4573</v>
      </c>
    </row>
    <row r="1913" spans="1:8" x14ac:dyDescent="0.3">
      <c r="A1913" t="s">
        <v>45</v>
      </c>
      <c r="B1913" s="2" t="s">
        <v>4</v>
      </c>
      <c r="D1913" t="s">
        <v>11</v>
      </c>
      <c r="H1913">
        <v>817</v>
      </c>
    </row>
    <row r="1914" spans="1:8" x14ac:dyDescent="0.3">
      <c r="A1914" t="s">
        <v>45</v>
      </c>
      <c r="B1914" s="2" t="s">
        <v>2</v>
      </c>
      <c r="D1914" t="s">
        <v>80</v>
      </c>
      <c r="H1914">
        <v>948</v>
      </c>
    </row>
    <row r="1915" spans="1:8" x14ac:dyDescent="0.3">
      <c r="A1915" t="s">
        <v>45</v>
      </c>
      <c r="B1915" s="2" t="s">
        <v>4</v>
      </c>
      <c r="D1915" t="s">
        <v>80</v>
      </c>
      <c r="H1915">
        <v>710</v>
      </c>
    </row>
    <row r="1916" spans="1:8" x14ac:dyDescent="0.3">
      <c r="A1916" t="s">
        <v>45</v>
      </c>
      <c r="B1916" s="2" t="s">
        <v>2</v>
      </c>
      <c r="D1916" t="s">
        <v>8</v>
      </c>
      <c r="H1916">
        <v>63</v>
      </c>
    </row>
    <row r="1917" spans="1:8" x14ac:dyDescent="0.3">
      <c r="A1917" t="s">
        <v>45</v>
      </c>
      <c r="B1917" s="2" t="s">
        <v>4</v>
      </c>
      <c r="D1917" t="s">
        <v>8</v>
      </c>
      <c r="H1917">
        <v>38</v>
      </c>
    </row>
    <row r="1918" spans="1:8" x14ac:dyDescent="0.3">
      <c r="A1918" t="s">
        <v>45</v>
      </c>
      <c r="B1918" s="2" t="s">
        <v>2</v>
      </c>
      <c r="D1918" t="s">
        <v>76</v>
      </c>
      <c r="H1918">
        <v>85</v>
      </c>
    </row>
    <row r="1919" spans="1:8" x14ac:dyDescent="0.3">
      <c r="A1919" t="s">
        <v>45</v>
      </c>
      <c r="B1919" s="2" t="s">
        <v>4</v>
      </c>
      <c r="D1919" t="s">
        <v>76</v>
      </c>
      <c r="H1919">
        <v>12</v>
      </c>
    </row>
    <row r="1920" spans="1:8" x14ac:dyDescent="0.3">
      <c r="A1920" t="s">
        <v>45</v>
      </c>
      <c r="B1920" s="2" t="s">
        <v>2</v>
      </c>
      <c r="D1920" t="s">
        <v>10</v>
      </c>
      <c r="H1920">
        <v>5</v>
      </c>
    </row>
    <row r="1921" spans="1:8" x14ac:dyDescent="0.3">
      <c r="A1921" t="s">
        <v>45</v>
      </c>
      <c r="B1921" s="2" t="s">
        <v>2</v>
      </c>
      <c r="D1921" t="s">
        <v>14</v>
      </c>
      <c r="H1921">
        <v>174</v>
      </c>
    </row>
    <row r="1922" spans="1:8" x14ac:dyDescent="0.3">
      <c r="A1922" t="s">
        <v>45</v>
      </c>
      <c r="B1922" s="2" t="s">
        <v>4</v>
      </c>
      <c r="D1922" t="s">
        <v>14</v>
      </c>
      <c r="H1922">
        <v>47</v>
      </c>
    </row>
    <row r="1923" spans="1:8" x14ac:dyDescent="0.3">
      <c r="A1923" t="s">
        <v>45</v>
      </c>
      <c r="B1923" s="2" t="s">
        <v>2</v>
      </c>
      <c r="D1923" t="s">
        <v>15</v>
      </c>
      <c r="H1923">
        <v>6</v>
      </c>
    </row>
    <row r="1924" spans="1:8" x14ac:dyDescent="0.3">
      <c r="A1924" t="s">
        <v>45</v>
      </c>
      <c r="B1924" s="2" t="s">
        <v>2</v>
      </c>
      <c r="D1924" t="s">
        <v>17</v>
      </c>
      <c r="H1924">
        <v>8</v>
      </c>
    </row>
    <row r="1925" spans="1:8" x14ac:dyDescent="0.3">
      <c r="A1925" t="s">
        <v>45</v>
      </c>
      <c r="B1925" s="2" t="s">
        <v>4</v>
      </c>
      <c r="D1925" t="s">
        <v>17</v>
      </c>
      <c r="H1925">
        <v>1</v>
      </c>
    </row>
    <row r="1926" spans="1:8" x14ac:dyDescent="0.3">
      <c r="A1926" t="s">
        <v>45</v>
      </c>
      <c r="B1926" s="2" t="s">
        <v>2</v>
      </c>
      <c r="D1926" t="s">
        <v>6</v>
      </c>
      <c r="H1926">
        <v>28</v>
      </c>
    </row>
    <row r="1927" spans="1:8" x14ac:dyDescent="0.3">
      <c r="A1927" t="s">
        <v>45</v>
      </c>
      <c r="B1927" s="2" t="s">
        <v>4</v>
      </c>
      <c r="D1927" t="s">
        <v>6</v>
      </c>
      <c r="H1927">
        <v>17</v>
      </c>
    </row>
    <row r="1928" spans="1:8" x14ac:dyDescent="0.3">
      <c r="A1928" t="s">
        <v>45</v>
      </c>
      <c r="B1928" s="2" t="s">
        <v>2</v>
      </c>
      <c r="D1928" t="s">
        <v>16</v>
      </c>
      <c r="H1928">
        <v>1008</v>
      </c>
    </row>
    <row r="1929" spans="1:8" x14ac:dyDescent="0.3">
      <c r="A1929" t="s">
        <v>45</v>
      </c>
      <c r="B1929" s="2" t="s">
        <v>4</v>
      </c>
      <c r="D1929" t="s">
        <v>16</v>
      </c>
      <c r="H1929">
        <v>183</v>
      </c>
    </row>
    <row r="1930" spans="1:8" x14ac:dyDescent="0.3">
      <c r="A1930" t="s">
        <v>45</v>
      </c>
      <c r="B1930" s="2" t="s">
        <v>2</v>
      </c>
      <c r="D1930" t="s">
        <v>78</v>
      </c>
      <c r="H1930">
        <f>476+257</f>
        <v>733</v>
      </c>
    </row>
    <row r="1931" spans="1:8" x14ac:dyDescent="0.3">
      <c r="A1931" t="s">
        <v>45</v>
      </c>
      <c r="B1931" s="2" t="s">
        <v>4</v>
      </c>
      <c r="D1931" t="s">
        <v>78</v>
      </c>
      <c r="H1931">
        <f>176+118</f>
        <v>294</v>
      </c>
    </row>
    <row r="1932" spans="1:8" x14ac:dyDescent="0.3">
      <c r="A1932" t="s">
        <v>45</v>
      </c>
      <c r="B1932" s="2" t="s">
        <v>2</v>
      </c>
      <c r="E1932" t="s">
        <v>21</v>
      </c>
      <c r="H1932">
        <v>2274</v>
      </c>
    </row>
    <row r="1933" spans="1:8" x14ac:dyDescent="0.3">
      <c r="A1933" t="s">
        <v>45</v>
      </c>
      <c r="B1933" s="2" t="s">
        <v>4</v>
      </c>
      <c r="E1933" t="s">
        <v>21</v>
      </c>
      <c r="H1933">
        <v>674</v>
      </c>
    </row>
    <row r="1934" spans="1:8" x14ac:dyDescent="0.3">
      <c r="A1934" t="s">
        <v>45</v>
      </c>
      <c r="B1934" s="2" t="s">
        <v>2</v>
      </c>
      <c r="E1934" t="s">
        <v>91</v>
      </c>
      <c r="H1934">
        <f>1066+997</f>
        <v>2063</v>
      </c>
    </row>
    <row r="1935" spans="1:8" x14ac:dyDescent="0.3">
      <c r="A1935" t="s">
        <v>45</v>
      </c>
      <c r="B1935" s="2" t="s">
        <v>4</v>
      </c>
      <c r="E1935" t="s">
        <v>91</v>
      </c>
      <c r="H1935">
        <f>377+282</f>
        <v>659</v>
      </c>
    </row>
    <row r="1936" spans="1:8" x14ac:dyDescent="0.3">
      <c r="A1936" t="s">
        <v>45</v>
      </c>
      <c r="B1936" s="2" t="s">
        <v>2</v>
      </c>
      <c r="E1936" t="s">
        <v>90</v>
      </c>
      <c r="H1936">
        <v>1583</v>
      </c>
    </row>
    <row r="1937" spans="1:8" x14ac:dyDescent="0.3">
      <c r="A1937" t="s">
        <v>45</v>
      </c>
      <c r="B1937" s="2" t="s">
        <v>4</v>
      </c>
      <c r="E1937" t="s">
        <v>90</v>
      </c>
      <c r="H1937">
        <v>369</v>
      </c>
    </row>
    <row r="1938" spans="1:8" x14ac:dyDescent="0.3">
      <c r="A1938" t="s">
        <v>45</v>
      </c>
      <c r="B1938" s="2" t="s">
        <v>2</v>
      </c>
      <c r="E1938" t="s">
        <v>89</v>
      </c>
      <c r="H1938">
        <v>1128</v>
      </c>
    </row>
    <row r="1939" spans="1:8" x14ac:dyDescent="0.3">
      <c r="A1939" t="s">
        <v>45</v>
      </c>
      <c r="B1939" s="2" t="s">
        <v>4</v>
      </c>
      <c r="E1939" t="s">
        <v>89</v>
      </c>
      <c r="H1939">
        <v>381</v>
      </c>
    </row>
    <row r="1940" spans="1:8" x14ac:dyDescent="0.3">
      <c r="A1940" t="s">
        <v>45</v>
      </c>
      <c r="B1940" s="2" t="s">
        <v>2</v>
      </c>
      <c r="E1940" t="s">
        <v>60</v>
      </c>
      <c r="H1940">
        <v>95</v>
      </c>
    </row>
    <row r="1941" spans="1:8" x14ac:dyDescent="0.3">
      <c r="A1941" t="s">
        <v>45</v>
      </c>
      <c r="B1941" s="2" t="s">
        <v>4</v>
      </c>
      <c r="E1941" t="s">
        <v>60</v>
      </c>
      <c r="H1941">
        <v>29</v>
      </c>
    </row>
    <row r="1942" spans="1:8" x14ac:dyDescent="0.3">
      <c r="A1942" t="s">
        <v>45</v>
      </c>
      <c r="B1942" s="2" t="s">
        <v>2</v>
      </c>
      <c r="E1942" t="s">
        <v>61</v>
      </c>
      <c r="H1942">
        <v>398</v>
      </c>
    </row>
    <row r="1943" spans="1:8" x14ac:dyDescent="0.3">
      <c r="A1943" t="s">
        <v>45</v>
      </c>
      <c r="B1943" s="2" t="s">
        <v>4</v>
      </c>
      <c r="E1943" t="s">
        <v>61</v>
      </c>
      <c r="H1943">
        <v>61</v>
      </c>
    </row>
    <row r="1944" spans="1:8" x14ac:dyDescent="0.3">
      <c r="A1944" t="s">
        <v>45</v>
      </c>
      <c r="B1944" s="2" t="s">
        <v>2</v>
      </c>
      <c r="E1944" t="s">
        <v>92</v>
      </c>
      <c r="H1944">
        <v>31</v>
      </c>
    </row>
    <row r="1945" spans="1:8" x14ac:dyDescent="0.3">
      <c r="A1945" t="s">
        <v>45</v>
      </c>
      <c r="B1945" s="2" t="s">
        <v>4</v>
      </c>
      <c r="E1945" t="s">
        <v>92</v>
      </c>
      <c r="H1945">
        <v>7</v>
      </c>
    </row>
    <row r="1946" spans="1:8" x14ac:dyDescent="0.3">
      <c r="A1946" t="s">
        <v>45</v>
      </c>
      <c r="B1946" s="2" t="s">
        <v>2</v>
      </c>
      <c r="E1946" t="s">
        <v>62</v>
      </c>
      <c r="H1946">
        <v>197</v>
      </c>
    </row>
    <row r="1947" spans="1:8" x14ac:dyDescent="0.3">
      <c r="A1947" t="s">
        <v>45</v>
      </c>
      <c r="B1947" s="2" t="s">
        <v>4</v>
      </c>
      <c r="E1947" t="s">
        <v>62</v>
      </c>
      <c r="H1947">
        <v>31</v>
      </c>
    </row>
    <row r="1948" spans="1:8" x14ac:dyDescent="0.3">
      <c r="A1948" t="s">
        <v>45</v>
      </c>
      <c r="B1948" s="2" t="s">
        <v>2</v>
      </c>
      <c r="F1948" t="s">
        <v>64</v>
      </c>
      <c r="H1948">
        <v>1574</v>
      </c>
    </row>
    <row r="1949" spans="1:8" x14ac:dyDescent="0.3">
      <c r="A1949" t="s">
        <v>45</v>
      </c>
      <c r="B1949" s="2" t="s">
        <v>4</v>
      </c>
      <c r="F1949" t="s">
        <v>64</v>
      </c>
      <c r="H1949">
        <v>511</v>
      </c>
    </row>
    <row r="1950" spans="1:8" x14ac:dyDescent="0.3">
      <c r="A1950" t="s">
        <v>45</v>
      </c>
      <c r="B1950" s="2" t="s">
        <v>2</v>
      </c>
      <c r="F1950" t="s">
        <v>18</v>
      </c>
      <c r="H1950">
        <v>5878</v>
      </c>
    </row>
    <row r="1951" spans="1:8" x14ac:dyDescent="0.3">
      <c r="A1951" t="s">
        <v>45</v>
      </c>
      <c r="B1951" s="2" t="s">
        <v>4</v>
      </c>
      <c r="F1951" t="s">
        <v>18</v>
      </c>
      <c r="H1951">
        <v>1558</v>
      </c>
    </row>
    <row r="1952" spans="1:8" x14ac:dyDescent="0.3">
      <c r="A1952" t="s">
        <v>45</v>
      </c>
      <c r="B1952" s="2" t="s">
        <v>2</v>
      </c>
      <c r="F1952" t="s">
        <v>19</v>
      </c>
      <c r="H1952">
        <v>57</v>
      </c>
    </row>
    <row r="1953" spans="1:8" x14ac:dyDescent="0.3">
      <c r="A1953" t="s">
        <v>45</v>
      </c>
      <c r="B1953" s="2" t="s">
        <v>4</v>
      </c>
      <c r="F1953" t="s">
        <v>19</v>
      </c>
      <c r="H1953">
        <v>46</v>
      </c>
    </row>
    <row r="1954" spans="1:8" x14ac:dyDescent="0.3">
      <c r="A1954" t="s">
        <v>45</v>
      </c>
      <c r="B1954" s="2" t="s">
        <v>2</v>
      </c>
      <c r="F1954" t="s">
        <v>20</v>
      </c>
      <c r="H1954">
        <v>33</v>
      </c>
    </row>
    <row r="1955" spans="1:8" x14ac:dyDescent="0.3">
      <c r="A1955" t="s">
        <v>45</v>
      </c>
      <c r="B1955" s="2" t="s">
        <v>4</v>
      </c>
      <c r="F1955" t="s">
        <v>20</v>
      </c>
      <c r="H1955">
        <v>33</v>
      </c>
    </row>
    <row r="1956" spans="1:8" x14ac:dyDescent="0.3">
      <c r="A1956" t="s">
        <v>45</v>
      </c>
      <c r="B1956" s="2" t="s">
        <v>2</v>
      </c>
      <c r="F1956" t="s">
        <v>65</v>
      </c>
      <c r="H1956">
        <v>58</v>
      </c>
    </row>
    <row r="1957" spans="1:8" x14ac:dyDescent="0.3">
      <c r="A1957" t="s">
        <v>45</v>
      </c>
      <c r="B1957" s="2" t="s">
        <v>4</v>
      </c>
      <c r="F1957" t="s">
        <v>65</v>
      </c>
      <c r="H1957">
        <v>25</v>
      </c>
    </row>
    <row r="1958" spans="1:8" x14ac:dyDescent="0.3">
      <c r="A1958" t="s">
        <v>45</v>
      </c>
      <c r="B1958" s="2" t="s">
        <v>2</v>
      </c>
      <c r="F1958" t="s">
        <v>66</v>
      </c>
      <c r="H1958">
        <v>169</v>
      </c>
    </row>
    <row r="1959" spans="1:8" x14ac:dyDescent="0.3">
      <c r="A1959" t="s">
        <v>45</v>
      </c>
      <c r="B1959" s="2" t="s">
        <v>4</v>
      </c>
      <c r="F1959" t="s">
        <v>66</v>
      </c>
      <c r="H1959">
        <v>38</v>
      </c>
    </row>
    <row r="1960" spans="1:8" x14ac:dyDescent="0.3">
      <c r="A1960" t="s">
        <v>45</v>
      </c>
      <c r="B1960" s="2" t="s">
        <v>4</v>
      </c>
      <c r="G1960" t="s">
        <v>68</v>
      </c>
      <c r="H1960">
        <v>757</v>
      </c>
    </row>
    <row r="1961" spans="1:8" x14ac:dyDescent="0.3">
      <c r="A1961" t="s">
        <v>45</v>
      </c>
      <c r="B1961" s="2" t="s">
        <v>2</v>
      </c>
      <c r="G1961" t="s">
        <v>82</v>
      </c>
      <c r="H1961">
        <v>58</v>
      </c>
    </row>
    <row r="1962" spans="1:8" x14ac:dyDescent="0.3">
      <c r="A1962" t="s">
        <v>45</v>
      </c>
      <c r="B1962" s="2" t="s">
        <v>4</v>
      </c>
      <c r="G1962" t="s">
        <v>82</v>
      </c>
      <c r="H1962">
        <v>11</v>
      </c>
    </row>
    <row r="1963" spans="1:8" x14ac:dyDescent="0.3">
      <c r="A1963" t="s">
        <v>45</v>
      </c>
      <c r="B1963" s="2" t="s">
        <v>2</v>
      </c>
      <c r="G1963" t="s">
        <v>83</v>
      </c>
      <c r="H1963">
        <v>668</v>
      </c>
    </row>
    <row r="1964" spans="1:8" x14ac:dyDescent="0.3">
      <c r="A1964" t="s">
        <v>45</v>
      </c>
      <c r="B1964" s="2" t="s">
        <v>4</v>
      </c>
      <c r="G1964" t="s">
        <v>83</v>
      </c>
      <c r="H1964">
        <v>124</v>
      </c>
    </row>
    <row r="1965" spans="1:8" x14ac:dyDescent="0.3">
      <c r="A1965" t="s">
        <v>45</v>
      </c>
      <c r="B1965" s="2" t="s">
        <v>2</v>
      </c>
      <c r="G1965" t="s">
        <v>69</v>
      </c>
      <c r="H1965">
        <v>306</v>
      </c>
    </row>
    <row r="1966" spans="1:8" x14ac:dyDescent="0.3">
      <c r="A1966" t="s">
        <v>45</v>
      </c>
      <c r="B1966" s="2" t="s">
        <v>4</v>
      </c>
      <c r="G1966" t="s">
        <v>69</v>
      </c>
      <c r="H1966">
        <v>237</v>
      </c>
    </row>
    <row r="1967" spans="1:8" x14ac:dyDescent="0.3">
      <c r="A1967" t="s">
        <v>45</v>
      </c>
      <c r="B1967" s="2" t="s">
        <v>2</v>
      </c>
      <c r="G1967" t="s">
        <v>70</v>
      </c>
      <c r="H1967">
        <v>114</v>
      </c>
    </row>
    <row r="1968" spans="1:8" x14ac:dyDescent="0.3">
      <c r="A1968" t="s">
        <v>45</v>
      </c>
      <c r="B1968" s="2" t="s">
        <v>4</v>
      </c>
      <c r="G1968" t="s">
        <v>70</v>
      </c>
      <c r="H1968">
        <v>19</v>
      </c>
    </row>
    <row r="1969" spans="1:8" x14ac:dyDescent="0.3">
      <c r="A1969" t="s">
        <v>45</v>
      </c>
      <c r="B1969" s="2" t="s">
        <v>2</v>
      </c>
      <c r="G1969" t="s">
        <v>84</v>
      </c>
      <c r="H1969">
        <v>1512</v>
      </c>
    </row>
    <row r="1970" spans="1:8" x14ac:dyDescent="0.3">
      <c r="A1970" t="s">
        <v>45</v>
      </c>
      <c r="B1970" s="2" t="s">
        <v>4</v>
      </c>
      <c r="G1970" t="s">
        <v>84</v>
      </c>
      <c r="H1970">
        <v>94</v>
      </c>
    </row>
    <row r="1971" spans="1:8" x14ac:dyDescent="0.3">
      <c r="A1971" t="s">
        <v>45</v>
      </c>
      <c r="B1971" s="2" t="s">
        <v>2</v>
      </c>
      <c r="G1971" t="s">
        <v>85</v>
      </c>
      <c r="H1971">
        <v>173</v>
      </c>
    </row>
    <row r="1972" spans="1:8" x14ac:dyDescent="0.3">
      <c r="A1972" t="s">
        <v>45</v>
      </c>
      <c r="B1972" s="2" t="s">
        <v>4</v>
      </c>
      <c r="G1972" t="s">
        <v>85</v>
      </c>
      <c r="H1972">
        <v>5</v>
      </c>
    </row>
    <row r="1973" spans="1:8" x14ac:dyDescent="0.3">
      <c r="A1973" t="s">
        <v>45</v>
      </c>
      <c r="B1973" s="2" t="s">
        <v>2</v>
      </c>
      <c r="G1973" t="s">
        <v>71</v>
      </c>
      <c r="H1973">
        <v>4135</v>
      </c>
    </row>
    <row r="1974" spans="1:8" x14ac:dyDescent="0.3">
      <c r="A1974" t="s">
        <v>45</v>
      </c>
      <c r="B1974" s="2" t="s">
        <v>4</v>
      </c>
      <c r="G1974" t="s">
        <v>71</v>
      </c>
      <c r="H1974">
        <v>378</v>
      </c>
    </row>
    <row r="1975" spans="1:8" x14ac:dyDescent="0.3">
      <c r="A1975" t="s">
        <v>45</v>
      </c>
      <c r="B1975" s="2" t="s">
        <v>2</v>
      </c>
      <c r="G1975" t="s">
        <v>72</v>
      </c>
      <c r="H1975">
        <v>803</v>
      </c>
    </row>
    <row r="1976" spans="1:8" x14ac:dyDescent="0.3">
      <c r="A1976" t="s">
        <v>45</v>
      </c>
      <c r="B1976" s="2" t="s">
        <v>4</v>
      </c>
      <c r="G1976" t="s">
        <v>72</v>
      </c>
      <c r="H1976">
        <v>586</v>
      </c>
    </row>
    <row r="1977" spans="1:8" x14ac:dyDescent="0.3">
      <c r="A1977" t="s">
        <v>46</v>
      </c>
      <c r="B1977" s="2" t="s">
        <v>2</v>
      </c>
      <c r="C1977" s="4" t="s">
        <v>13</v>
      </c>
      <c r="H1977" s="3">
        <v>11</v>
      </c>
    </row>
    <row r="1978" spans="1:8" x14ac:dyDescent="0.3">
      <c r="A1978" t="s">
        <v>46</v>
      </c>
      <c r="B1978" s="2" t="s">
        <v>4</v>
      </c>
      <c r="C1978" s="4" t="s">
        <v>13</v>
      </c>
      <c r="H1978" s="3">
        <v>2</v>
      </c>
    </row>
    <row r="1979" spans="1:8" x14ac:dyDescent="0.3">
      <c r="A1979" t="s">
        <v>46</v>
      </c>
      <c r="B1979" s="2" t="s">
        <v>2</v>
      </c>
      <c r="C1979" s="4" t="s">
        <v>104</v>
      </c>
      <c r="H1979" s="3">
        <v>4</v>
      </c>
    </row>
    <row r="1980" spans="1:8" x14ac:dyDescent="0.3">
      <c r="A1980" t="s">
        <v>46</v>
      </c>
      <c r="B1980" s="2" t="s">
        <v>4</v>
      </c>
      <c r="C1980" s="4" t="s">
        <v>104</v>
      </c>
      <c r="H1980" s="3">
        <v>10</v>
      </c>
    </row>
    <row r="1981" spans="1:8" x14ac:dyDescent="0.3">
      <c r="A1981" t="s">
        <v>46</v>
      </c>
      <c r="B1981" s="2" t="s">
        <v>2</v>
      </c>
      <c r="C1981" s="4" t="s">
        <v>7</v>
      </c>
      <c r="H1981" s="3">
        <v>442</v>
      </c>
    </row>
    <row r="1982" spans="1:8" x14ac:dyDescent="0.3">
      <c r="A1982" t="s">
        <v>46</v>
      </c>
      <c r="B1982" s="2" t="s">
        <v>4</v>
      </c>
      <c r="C1982" s="4" t="s">
        <v>7</v>
      </c>
      <c r="H1982" s="3">
        <v>167</v>
      </c>
    </row>
    <row r="1983" spans="1:8" x14ac:dyDescent="0.3">
      <c r="A1983" t="s">
        <v>46</v>
      </c>
      <c r="B1983" s="2" t="s">
        <v>2</v>
      </c>
      <c r="C1983" s="4" t="s">
        <v>103</v>
      </c>
      <c r="H1983" s="3">
        <v>30</v>
      </c>
    </row>
    <row r="1984" spans="1:8" x14ac:dyDescent="0.3">
      <c r="A1984" t="s">
        <v>46</v>
      </c>
      <c r="B1984" s="2" t="s">
        <v>4</v>
      </c>
      <c r="C1984" s="4" t="s">
        <v>103</v>
      </c>
      <c r="H1984" s="3">
        <v>21</v>
      </c>
    </row>
    <row r="1985" spans="1:8" x14ac:dyDescent="0.3">
      <c r="A1985" t="s">
        <v>46</v>
      </c>
      <c r="B1985" s="2" t="s">
        <v>2</v>
      </c>
      <c r="C1985" s="4" t="s">
        <v>79</v>
      </c>
      <c r="H1985" s="3">
        <v>16</v>
      </c>
    </row>
    <row r="1986" spans="1:8" x14ac:dyDescent="0.3">
      <c r="A1986" t="s">
        <v>46</v>
      </c>
      <c r="B1986" s="2" t="s">
        <v>4</v>
      </c>
      <c r="C1986" s="4" t="s">
        <v>79</v>
      </c>
      <c r="H1986" s="3">
        <v>8</v>
      </c>
    </row>
    <row r="1987" spans="1:8" x14ac:dyDescent="0.3">
      <c r="A1987" t="s">
        <v>46</v>
      </c>
      <c r="B1987" s="2" t="s">
        <v>2</v>
      </c>
      <c r="C1987" s="4" t="s">
        <v>105</v>
      </c>
      <c r="H1987" s="3">
        <v>1</v>
      </c>
    </row>
    <row r="1988" spans="1:8" x14ac:dyDescent="0.3">
      <c r="A1988" t="s">
        <v>46</v>
      </c>
      <c r="B1988" s="2" t="s">
        <v>4</v>
      </c>
      <c r="C1988" s="4" t="s">
        <v>105</v>
      </c>
      <c r="H1988" s="3">
        <v>1</v>
      </c>
    </row>
    <row r="1989" spans="1:8" x14ac:dyDescent="0.3">
      <c r="A1989" t="s">
        <v>46</v>
      </c>
      <c r="B1989" s="2" t="s">
        <v>2</v>
      </c>
      <c r="D1989" t="s">
        <v>16</v>
      </c>
      <c r="H1989">
        <v>1</v>
      </c>
    </row>
    <row r="1990" spans="1:8" x14ac:dyDescent="0.3">
      <c r="A1990" t="s">
        <v>46</v>
      </c>
      <c r="B1990" s="2" t="s">
        <v>2</v>
      </c>
      <c r="D1990" t="s">
        <v>81</v>
      </c>
      <c r="H1990">
        <v>16</v>
      </c>
    </row>
    <row r="1991" spans="1:8" x14ac:dyDescent="0.3">
      <c r="A1991" t="s">
        <v>46</v>
      </c>
      <c r="B1991" s="2" t="s">
        <v>4</v>
      </c>
      <c r="D1991" t="s">
        <v>81</v>
      </c>
      <c r="H1991">
        <v>7</v>
      </c>
    </row>
    <row r="1992" spans="1:8" x14ac:dyDescent="0.3">
      <c r="A1992" t="s">
        <v>46</v>
      </c>
      <c r="B1992" s="2" t="s">
        <v>4</v>
      </c>
      <c r="D1992" t="s">
        <v>73</v>
      </c>
      <c r="H1992">
        <v>2</v>
      </c>
    </row>
    <row r="1993" spans="1:8" x14ac:dyDescent="0.3">
      <c r="A1993" t="s">
        <v>46</v>
      </c>
      <c r="B1993" s="2" t="s">
        <v>2</v>
      </c>
      <c r="D1993" t="s">
        <v>74</v>
      </c>
      <c r="H1993">
        <v>12</v>
      </c>
    </row>
    <row r="1994" spans="1:8" x14ac:dyDescent="0.3">
      <c r="A1994" t="s">
        <v>46</v>
      </c>
      <c r="B1994" s="2" t="s">
        <v>4</v>
      </c>
      <c r="D1994" t="s">
        <v>74</v>
      </c>
      <c r="H1994">
        <v>12</v>
      </c>
    </row>
    <row r="1995" spans="1:8" x14ac:dyDescent="0.3">
      <c r="A1995" t="s">
        <v>46</v>
      </c>
      <c r="B1995" s="2" t="s">
        <v>2</v>
      </c>
      <c r="D1995" t="s">
        <v>9</v>
      </c>
      <c r="H1995">
        <v>9</v>
      </c>
    </row>
    <row r="1996" spans="1:8" x14ac:dyDescent="0.3">
      <c r="A1996" t="s">
        <v>46</v>
      </c>
      <c r="B1996" s="2" t="s">
        <v>4</v>
      </c>
      <c r="D1996" t="s">
        <v>9</v>
      </c>
      <c r="H1996">
        <v>10</v>
      </c>
    </row>
    <row r="1997" spans="1:8" x14ac:dyDescent="0.3">
      <c r="A1997" t="s">
        <v>46</v>
      </c>
      <c r="B1997" s="2" t="s">
        <v>2</v>
      </c>
      <c r="D1997" t="s">
        <v>11</v>
      </c>
      <c r="H1997">
        <v>283</v>
      </c>
    </row>
    <row r="1998" spans="1:8" x14ac:dyDescent="0.3">
      <c r="A1998" t="s">
        <v>46</v>
      </c>
      <c r="B1998" s="2" t="s">
        <v>4</v>
      </c>
      <c r="D1998" t="s">
        <v>11</v>
      </c>
      <c r="H1998">
        <v>127</v>
      </c>
    </row>
    <row r="1999" spans="1:8" x14ac:dyDescent="0.3">
      <c r="A1999" t="s">
        <v>46</v>
      </c>
      <c r="B1999" s="2" t="s">
        <v>2</v>
      </c>
      <c r="D1999" t="s">
        <v>80</v>
      </c>
      <c r="H1999">
        <v>92</v>
      </c>
    </row>
    <row r="2000" spans="1:8" x14ac:dyDescent="0.3">
      <c r="A2000" t="s">
        <v>46</v>
      </c>
      <c r="B2000" s="2" t="s">
        <v>4</v>
      </c>
      <c r="D2000" t="s">
        <v>80</v>
      </c>
      <c r="H2000">
        <v>24</v>
      </c>
    </row>
    <row r="2001" spans="1:8" x14ac:dyDescent="0.3">
      <c r="A2001" t="s">
        <v>46</v>
      </c>
      <c r="B2001" s="2" t="s">
        <v>2</v>
      </c>
      <c r="D2001" t="s">
        <v>76</v>
      </c>
      <c r="H2001">
        <v>4</v>
      </c>
    </row>
    <row r="2002" spans="1:8" x14ac:dyDescent="0.3">
      <c r="A2002" t="s">
        <v>46</v>
      </c>
      <c r="B2002" s="2" t="s">
        <v>4</v>
      </c>
      <c r="D2002" t="s">
        <v>10</v>
      </c>
      <c r="H2002">
        <v>1</v>
      </c>
    </row>
    <row r="2003" spans="1:8" x14ac:dyDescent="0.3">
      <c r="A2003" t="s">
        <v>46</v>
      </c>
      <c r="B2003" s="2" t="s">
        <v>2</v>
      </c>
      <c r="D2003" t="s">
        <v>14</v>
      </c>
      <c r="H2003">
        <v>33</v>
      </c>
    </row>
    <row r="2004" spans="1:8" x14ac:dyDescent="0.3">
      <c r="A2004" t="s">
        <v>46</v>
      </c>
      <c r="B2004" s="2" t="s">
        <v>4</v>
      </c>
      <c r="D2004" t="s">
        <v>14</v>
      </c>
      <c r="H2004">
        <v>26</v>
      </c>
    </row>
    <row r="2005" spans="1:8" x14ac:dyDescent="0.3">
      <c r="A2005" t="s">
        <v>46</v>
      </c>
      <c r="B2005" s="2" t="s">
        <v>2</v>
      </c>
      <c r="D2005" t="s">
        <v>6</v>
      </c>
      <c r="H2005">
        <v>53</v>
      </c>
    </row>
    <row r="2006" spans="1:8" x14ac:dyDescent="0.3">
      <c r="A2006" t="s">
        <v>46</v>
      </c>
      <c r="B2006" s="2" t="s">
        <v>2</v>
      </c>
      <c r="D2006" t="s">
        <v>78</v>
      </c>
      <c r="H2006">
        <v>1</v>
      </c>
    </row>
    <row r="2007" spans="1:8" x14ac:dyDescent="0.3">
      <c r="A2007" t="s">
        <v>46</v>
      </c>
      <c r="B2007" s="2" t="s">
        <v>2</v>
      </c>
      <c r="E2007" t="s">
        <v>21</v>
      </c>
      <c r="H2007">
        <v>7</v>
      </c>
    </row>
    <row r="2008" spans="1:8" x14ac:dyDescent="0.3">
      <c r="A2008" t="s">
        <v>46</v>
      </c>
      <c r="B2008" s="2" t="s">
        <v>4</v>
      </c>
      <c r="E2008" t="s">
        <v>21</v>
      </c>
      <c r="H2008">
        <v>6</v>
      </c>
    </row>
    <row r="2009" spans="1:8" x14ac:dyDescent="0.3">
      <c r="A2009" t="s">
        <v>46</v>
      </c>
      <c r="B2009" s="2" t="s">
        <v>2</v>
      </c>
      <c r="E2009" t="s">
        <v>91</v>
      </c>
      <c r="H2009">
        <f>159+165</f>
        <v>324</v>
      </c>
    </row>
    <row r="2010" spans="1:8" x14ac:dyDescent="0.3">
      <c r="A2010" t="s">
        <v>46</v>
      </c>
      <c r="B2010" s="2" t="s">
        <v>4</v>
      </c>
      <c r="E2010" t="s">
        <v>91</v>
      </c>
      <c r="H2010">
        <f>65+79</f>
        <v>144</v>
      </c>
    </row>
    <row r="2011" spans="1:8" x14ac:dyDescent="0.3">
      <c r="A2011" t="s">
        <v>46</v>
      </c>
      <c r="B2011" s="2" t="s">
        <v>2</v>
      </c>
      <c r="E2011" t="s">
        <v>90</v>
      </c>
      <c r="H2011">
        <v>117</v>
      </c>
    </row>
    <row r="2012" spans="1:8" x14ac:dyDescent="0.3">
      <c r="A2012" t="s">
        <v>46</v>
      </c>
      <c r="B2012" s="2" t="s">
        <v>4</v>
      </c>
      <c r="E2012" t="s">
        <v>90</v>
      </c>
      <c r="H2012">
        <v>38</v>
      </c>
    </row>
    <row r="2013" spans="1:8" x14ac:dyDescent="0.3">
      <c r="A2013" t="s">
        <v>46</v>
      </c>
      <c r="B2013" s="2" t="s">
        <v>2</v>
      </c>
      <c r="E2013" t="s">
        <v>89</v>
      </c>
      <c r="H2013">
        <v>46</v>
      </c>
    </row>
    <row r="2014" spans="1:8" x14ac:dyDescent="0.3">
      <c r="A2014" t="s">
        <v>46</v>
      </c>
      <c r="B2014" s="2" t="s">
        <v>4</v>
      </c>
      <c r="E2014" t="s">
        <v>89</v>
      </c>
      <c r="H2014">
        <v>20</v>
      </c>
    </row>
    <row r="2015" spans="1:8" x14ac:dyDescent="0.3">
      <c r="A2015" t="s">
        <v>46</v>
      </c>
      <c r="B2015" s="2" t="s">
        <v>2</v>
      </c>
      <c r="E2015" t="s">
        <v>61</v>
      </c>
      <c r="H2015">
        <v>10</v>
      </c>
    </row>
    <row r="2016" spans="1:8" x14ac:dyDescent="0.3">
      <c r="A2016" t="s">
        <v>46</v>
      </c>
      <c r="B2016" s="2" t="s">
        <v>4</v>
      </c>
      <c r="E2016" t="s">
        <v>61</v>
      </c>
      <c r="H2016">
        <v>1</v>
      </c>
    </row>
    <row r="2017" spans="1:8" x14ac:dyDescent="0.3">
      <c r="A2017" t="s">
        <v>46</v>
      </c>
      <c r="B2017" s="2" t="s">
        <v>2</v>
      </c>
      <c r="F2017" t="s">
        <v>64</v>
      </c>
      <c r="H2017">
        <v>111</v>
      </c>
    </row>
    <row r="2018" spans="1:8" x14ac:dyDescent="0.3">
      <c r="A2018" t="s">
        <v>46</v>
      </c>
      <c r="B2018" s="2" t="s">
        <v>4</v>
      </c>
      <c r="F2018" t="s">
        <v>64</v>
      </c>
      <c r="H2018">
        <v>59</v>
      </c>
    </row>
    <row r="2019" spans="1:8" x14ac:dyDescent="0.3">
      <c r="A2019" t="s">
        <v>46</v>
      </c>
      <c r="B2019" s="2" t="s">
        <v>2</v>
      </c>
      <c r="F2019" t="s">
        <v>18</v>
      </c>
      <c r="H2019">
        <v>393</v>
      </c>
    </row>
    <row r="2020" spans="1:8" x14ac:dyDescent="0.3">
      <c r="A2020" t="s">
        <v>46</v>
      </c>
      <c r="B2020" s="2" t="s">
        <v>4</v>
      </c>
      <c r="F2020" t="s">
        <v>18</v>
      </c>
      <c r="H2020">
        <v>150</v>
      </c>
    </row>
    <row r="2021" spans="1:8" x14ac:dyDescent="0.3">
      <c r="A2021" t="s">
        <v>46</v>
      </c>
      <c r="B2021" s="2" t="s">
        <v>4</v>
      </c>
      <c r="G2021" t="s">
        <v>68</v>
      </c>
      <c r="H2021">
        <v>132</v>
      </c>
    </row>
    <row r="2022" spans="1:8" x14ac:dyDescent="0.3">
      <c r="A2022" t="s">
        <v>46</v>
      </c>
      <c r="B2022" s="2" t="s">
        <v>2</v>
      </c>
      <c r="G2022" t="s">
        <v>82</v>
      </c>
      <c r="H2022">
        <v>7</v>
      </c>
    </row>
    <row r="2023" spans="1:8" x14ac:dyDescent="0.3">
      <c r="A2023" t="s">
        <v>46</v>
      </c>
      <c r="B2023" s="2" t="s">
        <v>4</v>
      </c>
      <c r="G2023" t="s">
        <v>82</v>
      </c>
      <c r="H2023">
        <v>1</v>
      </c>
    </row>
    <row r="2024" spans="1:8" x14ac:dyDescent="0.3">
      <c r="A2024" t="s">
        <v>46</v>
      </c>
      <c r="B2024" s="2" t="s">
        <v>2</v>
      </c>
      <c r="G2024" t="s">
        <v>83</v>
      </c>
      <c r="H2024">
        <v>9</v>
      </c>
    </row>
    <row r="2025" spans="1:8" x14ac:dyDescent="0.3">
      <c r="A2025" t="s">
        <v>46</v>
      </c>
      <c r="B2025" s="2" t="s">
        <v>4</v>
      </c>
      <c r="G2025" t="s">
        <v>83</v>
      </c>
      <c r="H2025">
        <v>1</v>
      </c>
    </row>
    <row r="2026" spans="1:8" x14ac:dyDescent="0.3">
      <c r="A2026" t="s">
        <v>46</v>
      </c>
      <c r="B2026" s="2" t="s">
        <v>2</v>
      </c>
      <c r="G2026" t="s">
        <v>69</v>
      </c>
      <c r="H2026">
        <v>34</v>
      </c>
    </row>
    <row r="2027" spans="1:8" x14ac:dyDescent="0.3">
      <c r="A2027" t="s">
        <v>46</v>
      </c>
      <c r="B2027" s="2" t="s">
        <v>4</v>
      </c>
      <c r="G2027" t="s">
        <v>69</v>
      </c>
      <c r="H2027">
        <v>42</v>
      </c>
    </row>
    <row r="2028" spans="1:8" x14ac:dyDescent="0.3">
      <c r="A2028" t="s">
        <v>46</v>
      </c>
      <c r="B2028" s="2" t="s">
        <v>2</v>
      </c>
      <c r="G2028" t="s">
        <v>70</v>
      </c>
      <c r="H2028">
        <v>19</v>
      </c>
    </row>
    <row r="2029" spans="1:8" x14ac:dyDescent="0.3">
      <c r="A2029" t="s">
        <v>46</v>
      </c>
      <c r="B2029" s="2" t="s">
        <v>4</v>
      </c>
      <c r="G2029" t="s">
        <v>70</v>
      </c>
      <c r="H2029">
        <v>14</v>
      </c>
    </row>
    <row r="2030" spans="1:8" x14ac:dyDescent="0.3">
      <c r="A2030" t="s">
        <v>46</v>
      </c>
      <c r="B2030" s="2" t="s">
        <v>2</v>
      </c>
      <c r="G2030" t="s">
        <v>84</v>
      </c>
      <c r="H2030">
        <v>125</v>
      </c>
    </row>
    <row r="2031" spans="1:8" x14ac:dyDescent="0.3">
      <c r="A2031" t="s">
        <v>46</v>
      </c>
      <c r="B2031" s="2" t="s">
        <v>4</v>
      </c>
      <c r="G2031" t="s">
        <v>84</v>
      </c>
      <c r="H2031">
        <v>4</v>
      </c>
    </row>
    <row r="2032" spans="1:8" x14ac:dyDescent="0.3">
      <c r="A2032" t="s">
        <v>46</v>
      </c>
      <c r="B2032" s="2" t="s">
        <v>2</v>
      </c>
      <c r="G2032" t="s">
        <v>71</v>
      </c>
      <c r="H2032">
        <v>310</v>
      </c>
    </row>
    <row r="2033" spans="1:8" x14ac:dyDescent="0.3">
      <c r="A2033" t="s">
        <v>46</v>
      </c>
      <c r="B2033" s="2" t="s">
        <v>4</v>
      </c>
      <c r="G2033" t="s">
        <v>71</v>
      </c>
      <c r="H2033">
        <v>15</v>
      </c>
    </row>
    <row r="2034" spans="1:8" x14ac:dyDescent="0.3">
      <c r="A2034" t="s">
        <v>47</v>
      </c>
      <c r="B2034" s="2" t="s">
        <v>2</v>
      </c>
      <c r="C2034" s="4" t="s">
        <v>13</v>
      </c>
      <c r="H2034" s="3">
        <v>157</v>
      </c>
    </row>
    <row r="2035" spans="1:8" x14ac:dyDescent="0.3">
      <c r="A2035" t="s">
        <v>47</v>
      </c>
      <c r="B2035" s="2" t="s">
        <v>4</v>
      </c>
      <c r="C2035" s="4" t="s">
        <v>13</v>
      </c>
      <c r="H2035" s="3">
        <v>80</v>
      </c>
    </row>
    <row r="2036" spans="1:8" x14ac:dyDescent="0.3">
      <c r="A2036" t="s">
        <v>47</v>
      </c>
      <c r="B2036" s="2" t="s">
        <v>2</v>
      </c>
      <c r="C2036" s="4" t="s">
        <v>104</v>
      </c>
      <c r="H2036" s="3">
        <f>102+88</f>
        <v>190</v>
      </c>
    </row>
    <row r="2037" spans="1:8" x14ac:dyDescent="0.3">
      <c r="A2037" t="s">
        <v>47</v>
      </c>
      <c r="B2037" s="2" t="s">
        <v>4</v>
      </c>
      <c r="C2037" s="4" t="s">
        <v>104</v>
      </c>
      <c r="H2037" s="3">
        <f>78+34</f>
        <v>112</v>
      </c>
    </row>
    <row r="2038" spans="1:8" x14ac:dyDescent="0.3">
      <c r="A2038" t="s">
        <v>47</v>
      </c>
      <c r="B2038" s="2" t="s">
        <v>2</v>
      </c>
      <c r="C2038" s="4" t="s">
        <v>7</v>
      </c>
      <c r="H2038" s="3">
        <v>3866</v>
      </c>
    </row>
    <row r="2039" spans="1:8" x14ac:dyDescent="0.3">
      <c r="A2039" t="s">
        <v>47</v>
      </c>
      <c r="B2039" s="2" t="s">
        <v>4</v>
      </c>
      <c r="C2039" s="4" t="s">
        <v>7</v>
      </c>
      <c r="H2039" s="3">
        <v>2289</v>
      </c>
    </row>
    <row r="2040" spans="1:8" x14ac:dyDescent="0.3">
      <c r="A2040" t="s">
        <v>47</v>
      </c>
      <c r="B2040" s="2" t="s">
        <v>2</v>
      </c>
      <c r="C2040" s="4" t="s">
        <v>103</v>
      </c>
      <c r="H2040" s="3">
        <f>360+92</f>
        <v>452</v>
      </c>
    </row>
    <row r="2041" spans="1:8" x14ac:dyDescent="0.3">
      <c r="A2041" t="s">
        <v>47</v>
      </c>
      <c r="B2041" s="2" t="s">
        <v>4</v>
      </c>
      <c r="C2041" s="4" t="s">
        <v>103</v>
      </c>
      <c r="H2041" s="3">
        <f>151+47</f>
        <v>198</v>
      </c>
    </row>
    <row r="2042" spans="1:8" x14ac:dyDescent="0.3">
      <c r="A2042" t="s">
        <v>47</v>
      </c>
      <c r="B2042" s="2" t="s">
        <v>2</v>
      </c>
      <c r="C2042" s="4" t="s">
        <v>79</v>
      </c>
      <c r="H2042" s="3">
        <v>93</v>
      </c>
    </row>
    <row r="2043" spans="1:8" x14ac:dyDescent="0.3">
      <c r="A2043" t="s">
        <v>47</v>
      </c>
      <c r="B2043" s="2" t="s">
        <v>4</v>
      </c>
      <c r="C2043" s="4" t="s">
        <v>79</v>
      </c>
      <c r="H2043" s="3">
        <v>46</v>
      </c>
    </row>
    <row r="2044" spans="1:8" x14ac:dyDescent="0.3">
      <c r="A2044" t="s">
        <v>47</v>
      </c>
      <c r="B2044" s="2" t="s">
        <v>2</v>
      </c>
      <c r="C2044" s="4" t="s">
        <v>105</v>
      </c>
      <c r="H2044" s="3">
        <v>131</v>
      </c>
    </row>
    <row r="2045" spans="1:8" x14ac:dyDescent="0.3">
      <c r="A2045" t="s">
        <v>47</v>
      </c>
      <c r="B2045" s="2" t="s">
        <v>4</v>
      </c>
      <c r="C2045" s="4" t="s">
        <v>105</v>
      </c>
      <c r="H2045" s="3">
        <v>25</v>
      </c>
    </row>
    <row r="2046" spans="1:8" x14ac:dyDescent="0.3">
      <c r="A2046" t="s">
        <v>47</v>
      </c>
      <c r="B2046" s="2" t="s">
        <v>2</v>
      </c>
      <c r="C2046" s="4" t="s">
        <v>58</v>
      </c>
      <c r="H2046" s="3">
        <v>112</v>
      </c>
    </row>
    <row r="2047" spans="1:8" x14ac:dyDescent="0.3">
      <c r="A2047" t="s">
        <v>47</v>
      </c>
      <c r="B2047" s="2" t="s">
        <v>4</v>
      </c>
      <c r="C2047" s="4" t="s">
        <v>58</v>
      </c>
      <c r="H2047" s="3">
        <v>28</v>
      </c>
    </row>
    <row r="2048" spans="1:8" x14ac:dyDescent="0.3">
      <c r="A2048" t="s">
        <v>47</v>
      </c>
      <c r="B2048" s="2" t="s">
        <v>2</v>
      </c>
      <c r="C2048" s="4" t="s">
        <v>59</v>
      </c>
      <c r="H2048" s="3">
        <v>224</v>
      </c>
    </row>
    <row r="2049" spans="1:8" x14ac:dyDescent="0.3">
      <c r="A2049" t="s">
        <v>47</v>
      </c>
      <c r="B2049" s="2" t="s">
        <v>4</v>
      </c>
      <c r="C2049" s="4" t="s">
        <v>59</v>
      </c>
      <c r="H2049" s="3">
        <v>173</v>
      </c>
    </row>
    <row r="2050" spans="1:8" x14ac:dyDescent="0.3">
      <c r="A2050" t="s">
        <v>47</v>
      </c>
      <c r="B2050" s="2" t="s">
        <v>2</v>
      </c>
      <c r="D2050" t="s">
        <v>81</v>
      </c>
      <c r="H2050">
        <v>431</v>
      </c>
    </row>
    <row r="2051" spans="1:8" x14ac:dyDescent="0.3">
      <c r="A2051" t="s">
        <v>47</v>
      </c>
      <c r="B2051" s="2" t="s">
        <v>4</v>
      </c>
      <c r="D2051" t="s">
        <v>81</v>
      </c>
      <c r="H2051">
        <v>254</v>
      </c>
    </row>
    <row r="2052" spans="1:8" x14ac:dyDescent="0.3">
      <c r="A2052" t="s">
        <v>47</v>
      </c>
      <c r="B2052" s="2" t="s">
        <v>2</v>
      </c>
      <c r="D2052" t="s">
        <v>73</v>
      </c>
      <c r="H2052">
        <v>81</v>
      </c>
    </row>
    <row r="2053" spans="1:8" x14ac:dyDescent="0.3">
      <c r="A2053" t="s">
        <v>47</v>
      </c>
      <c r="B2053" s="2" t="s">
        <v>4</v>
      </c>
      <c r="D2053" t="s">
        <v>73</v>
      </c>
      <c r="H2053">
        <v>419</v>
      </c>
    </row>
    <row r="2054" spans="1:8" x14ac:dyDescent="0.3">
      <c r="A2054" t="s">
        <v>47</v>
      </c>
      <c r="B2054" s="2" t="s">
        <v>2</v>
      </c>
      <c r="D2054" t="s">
        <v>74</v>
      </c>
      <c r="H2054">
        <v>51</v>
      </c>
    </row>
    <row r="2055" spans="1:8" x14ac:dyDescent="0.3">
      <c r="A2055" t="s">
        <v>47</v>
      </c>
      <c r="B2055" s="2" t="s">
        <v>4</v>
      </c>
      <c r="D2055" t="s">
        <v>74</v>
      </c>
      <c r="H2055">
        <v>50</v>
      </c>
    </row>
    <row r="2056" spans="1:8" x14ac:dyDescent="0.3">
      <c r="A2056" t="s">
        <v>47</v>
      </c>
      <c r="B2056" s="2" t="s">
        <v>2</v>
      </c>
      <c r="D2056" t="s">
        <v>3</v>
      </c>
      <c r="H2056">
        <v>11</v>
      </c>
    </row>
    <row r="2057" spans="1:8" x14ac:dyDescent="0.3">
      <c r="A2057" t="s">
        <v>47</v>
      </c>
      <c r="B2057" s="2" t="s">
        <v>4</v>
      </c>
      <c r="D2057" t="s">
        <v>3</v>
      </c>
      <c r="H2057">
        <v>4</v>
      </c>
    </row>
    <row r="2058" spans="1:8" x14ac:dyDescent="0.3">
      <c r="A2058" t="s">
        <v>47</v>
      </c>
      <c r="B2058" s="2" t="s">
        <v>2</v>
      </c>
      <c r="D2058" t="s">
        <v>9</v>
      </c>
      <c r="H2058">
        <v>84</v>
      </c>
    </row>
    <row r="2059" spans="1:8" x14ac:dyDescent="0.3">
      <c r="A2059" t="s">
        <v>47</v>
      </c>
      <c r="B2059" s="2" t="s">
        <v>4</v>
      </c>
      <c r="D2059" t="s">
        <v>9</v>
      </c>
      <c r="H2059">
        <v>38</v>
      </c>
    </row>
    <row r="2060" spans="1:8" x14ac:dyDescent="0.3">
      <c r="A2060" t="s">
        <v>47</v>
      </c>
      <c r="B2060" s="2" t="s">
        <v>2</v>
      </c>
      <c r="D2060" t="s">
        <v>75</v>
      </c>
      <c r="H2060">
        <v>4</v>
      </c>
    </row>
    <row r="2061" spans="1:8" x14ac:dyDescent="0.3">
      <c r="A2061" t="s">
        <v>47</v>
      </c>
      <c r="B2061" s="2" t="s">
        <v>4</v>
      </c>
      <c r="D2061" t="s">
        <v>75</v>
      </c>
      <c r="H2061">
        <v>5</v>
      </c>
    </row>
    <row r="2062" spans="1:8" x14ac:dyDescent="0.3">
      <c r="A2062" t="s">
        <v>47</v>
      </c>
      <c r="B2062" s="2" t="s">
        <v>2</v>
      </c>
      <c r="D2062" t="s">
        <v>11</v>
      </c>
      <c r="H2062">
        <v>2067</v>
      </c>
    </row>
    <row r="2063" spans="1:8" x14ac:dyDescent="0.3">
      <c r="A2063" t="s">
        <v>47</v>
      </c>
      <c r="B2063" s="2" t="s">
        <v>4</v>
      </c>
      <c r="D2063" t="s">
        <v>11</v>
      </c>
      <c r="H2063">
        <v>1067</v>
      </c>
    </row>
    <row r="2064" spans="1:8" x14ac:dyDescent="0.3">
      <c r="A2064" t="s">
        <v>47</v>
      </c>
      <c r="B2064" s="2" t="s">
        <v>2</v>
      </c>
      <c r="D2064" t="s">
        <v>80</v>
      </c>
      <c r="H2064">
        <v>275</v>
      </c>
    </row>
    <row r="2065" spans="1:8" x14ac:dyDescent="0.3">
      <c r="A2065" t="s">
        <v>47</v>
      </c>
      <c r="B2065" s="2" t="s">
        <v>4</v>
      </c>
      <c r="D2065" t="s">
        <v>80</v>
      </c>
      <c r="H2065">
        <v>154</v>
      </c>
    </row>
    <row r="2066" spans="1:8" x14ac:dyDescent="0.3">
      <c r="A2066" t="s">
        <v>47</v>
      </c>
      <c r="B2066" s="2" t="s">
        <v>2</v>
      </c>
      <c r="D2066" t="s">
        <v>8</v>
      </c>
      <c r="H2066">
        <v>40</v>
      </c>
    </row>
    <row r="2067" spans="1:8" x14ac:dyDescent="0.3">
      <c r="A2067" t="s">
        <v>47</v>
      </c>
      <c r="B2067" s="2" t="s">
        <v>4</v>
      </c>
      <c r="D2067" t="s">
        <v>8</v>
      </c>
      <c r="H2067">
        <v>5</v>
      </c>
    </row>
    <row r="2068" spans="1:8" x14ac:dyDescent="0.3">
      <c r="A2068" t="s">
        <v>47</v>
      </c>
      <c r="B2068" s="2" t="s">
        <v>2</v>
      </c>
      <c r="D2068" t="s">
        <v>76</v>
      </c>
      <c r="H2068">
        <v>110</v>
      </c>
    </row>
    <row r="2069" spans="1:8" x14ac:dyDescent="0.3">
      <c r="A2069" t="s">
        <v>47</v>
      </c>
      <c r="B2069" s="2" t="s">
        <v>4</v>
      </c>
      <c r="D2069" t="s">
        <v>76</v>
      </c>
      <c r="H2069">
        <v>8</v>
      </c>
    </row>
    <row r="2070" spans="1:8" x14ac:dyDescent="0.3">
      <c r="A2070" t="s">
        <v>47</v>
      </c>
      <c r="B2070" s="2" t="s">
        <v>2</v>
      </c>
      <c r="D2070" t="s">
        <v>10</v>
      </c>
      <c r="H2070">
        <v>47</v>
      </c>
    </row>
    <row r="2071" spans="1:8" x14ac:dyDescent="0.3">
      <c r="A2071" t="s">
        <v>47</v>
      </c>
      <c r="B2071" s="2" t="s">
        <v>4</v>
      </c>
      <c r="D2071" t="s">
        <v>10</v>
      </c>
      <c r="H2071">
        <v>11</v>
      </c>
    </row>
    <row r="2072" spans="1:8" x14ac:dyDescent="0.3">
      <c r="A2072" t="s">
        <v>47</v>
      </c>
      <c r="B2072" s="2" t="s">
        <v>2</v>
      </c>
      <c r="D2072" t="s">
        <v>5</v>
      </c>
      <c r="H2072">
        <v>16</v>
      </c>
    </row>
    <row r="2073" spans="1:8" x14ac:dyDescent="0.3">
      <c r="A2073" t="s">
        <v>47</v>
      </c>
      <c r="B2073" s="2" t="s">
        <v>4</v>
      </c>
      <c r="D2073" t="s">
        <v>5</v>
      </c>
      <c r="H2073">
        <v>6</v>
      </c>
    </row>
    <row r="2074" spans="1:8" x14ac:dyDescent="0.3">
      <c r="A2074" t="s">
        <v>47</v>
      </c>
      <c r="B2074" s="2" t="s">
        <v>2</v>
      </c>
      <c r="D2074" t="s">
        <v>14</v>
      </c>
      <c r="H2074">
        <v>404</v>
      </c>
    </row>
    <row r="2075" spans="1:8" x14ac:dyDescent="0.3">
      <c r="A2075" t="s">
        <v>47</v>
      </c>
      <c r="B2075" s="2" t="s">
        <v>4</v>
      </c>
      <c r="D2075" t="s">
        <v>14</v>
      </c>
      <c r="H2075">
        <v>316</v>
      </c>
    </row>
    <row r="2076" spans="1:8" x14ac:dyDescent="0.3">
      <c r="A2076" t="s">
        <v>47</v>
      </c>
      <c r="B2076" s="2" t="s">
        <v>2</v>
      </c>
      <c r="D2076" t="s">
        <v>15</v>
      </c>
      <c r="H2076">
        <v>56</v>
      </c>
    </row>
    <row r="2077" spans="1:8" x14ac:dyDescent="0.3">
      <c r="A2077" t="s">
        <v>47</v>
      </c>
      <c r="B2077" s="2" t="s">
        <v>4</v>
      </c>
      <c r="D2077" t="s">
        <v>15</v>
      </c>
      <c r="H2077">
        <v>21</v>
      </c>
    </row>
    <row r="2078" spans="1:8" x14ac:dyDescent="0.3">
      <c r="A2078" t="s">
        <v>47</v>
      </c>
      <c r="B2078" s="2" t="s">
        <v>2</v>
      </c>
      <c r="D2078" t="s">
        <v>17</v>
      </c>
      <c r="H2078">
        <v>127</v>
      </c>
    </row>
    <row r="2079" spans="1:8" x14ac:dyDescent="0.3">
      <c r="A2079" t="s">
        <v>47</v>
      </c>
      <c r="B2079" s="2" t="s">
        <v>4</v>
      </c>
      <c r="D2079" t="s">
        <v>17</v>
      </c>
      <c r="H2079">
        <v>24</v>
      </c>
    </row>
    <row r="2080" spans="1:8" x14ac:dyDescent="0.3">
      <c r="A2080" t="s">
        <v>47</v>
      </c>
      <c r="B2080" s="2" t="s">
        <v>2</v>
      </c>
      <c r="D2080" t="s">
        <v>6</v>
      </c>
      <c r="H2080">
        <v>96</v>
      </c>
    </row>
    <row r="2081" spans="1:8" x14ac:dyDescent="0.3">
      <c r="A2081" t="s">
        <v>47</v>
      </c>
      <c r="B2081" s="2" t="s">
        <v>4</v>
      </c>
      <c r="D2081" t="s">
        <v>6</v>
      </c>
      <c r="H2081">
        <v>25</v>
      </c>
    </row>
    <row r="2082" spans="1:8" x14ac:dyDescent="0.3">
      <c r="A2082" t="s">
        <v>47</v>
      </c>
      <c r="B2082" s="2" t="s">
        <v>4</v>
      </c>
      <c r="D2082" t="s">
        <v>12</v>
      </c>
      <c r="H2082">
        <v>4</v>
      </c>
    </row>
    <row r="2083" spans="1:8" x14ac:dyDescent="0.3">
      <c r="A2083" t="s">
        <v>47</v>
      </c>
      <c r="B2083" s="2" t="s">
        <v>4</v>
      </c>
      <c r="D2083" t="s">
        <v>77</v>
      </c>
      <c r="H2083">
        <v>1</v>
      </c>
    </row>
    <row r="2084" spans="1:8" x14ac:dyDescent="0.3">
      <c r="A2084" t="s">
        <v>47</v>
      </c>
      <c r="B2084" s="2" t="s">
        <v>2</v>
      </c>
      <c r="D2084" t="s">
        <v>16</v>
      </c>
      <c r="H2084">
        <v>83</v>
      </c>
    </row>
    <row r="2085" spans="1:8" x14ac:dyDescent="0.3">
      <c r="A2085" t="s">
        <v>47</v>
      </c>
      <c r="B2085" s="2" t="s">
        <v>4</v>
      </c>
      <c r="D2085" t="s">
        <v>16</v>
      </c>
      <c r="H2085">
        <v>22</v>
      </c>
    </row>
    <row r="2086" spans="1:8" x14ac:dyDescent="0.3">
      <c r="A2086" t="s">
        <v>47</v>
      </c>
      <c r="B2086" s="2" t="s">
        <v>2</v>
      </c>
      <c r="D2086" t="s">
        <v>78</v>
      </c>
      <c r="H2086">
        <f>779+463</f>
        <v>1242</v>
      </c>
    </row>
    <row r="2087" spans="1:8" x14ac:dyDescent="0.3">
      <c r="A2087" t="s">
        <v>47</v>
      </c>
      <c r="B2087" s="2" t="s">
        <v>4</v>
      </c>
      <c r="D2087" t="s">
        <v>78</v>
      </c>
      <c r="H2087">
        <f>315+202</f>
        <v>517</v>
      </c>
    </row>
    <row r="2088" spans="1:8" x14ac:dyDescent="0.3">
      <c r="A2088" t="s">
        <v>47</v>
      </c>
      <c r="B2088" s="2" t="s">
        <v>2</v>
      </c>
      <c r="E2088" t="s">
        <v>21</v>
      </c>
      <c r="H2088">
        <v>524</v>
      </c>
    </row>
    <row r="2089" spans="1:8" x14ac:dyDescent="0.3">
      <c r="A2089" t="s">
        <v>47</v>
      </c>
      <c r="B2089" s="2" t="s">
        <v>4</v>
      </c>
      <c r="E2089" t="s">
        <v>21</v>
      </c>
      <c r="H2089">
        <v>399</v>
      </c>
    </row>
    <row r="2090" spans="1:8" x14ac:dyDescent="0.3">
      <c r="A2090" t="s">
        <v>47</v>
      </c>
      <c r="B2090" s="2" t="s">
        <v>2</v>
      </c>
      <c r="E2090" t="s">
        <v>91</v>
      </c>
      <c r="H2090">
        <f>893+581</f>
        <v>1474</v>
      </c>
    </row>
    <row r="2091" spans="1:8" x14ac:dyDescent="0.3">
      <c r="A2091" t="s">
        <v>47</v>
      </c>
      <c r="B2091" s="2" t="s">
        <v>4</v>
      </c>
      <c r="E2091" t="s">
        <v>91</v>
      </c>
      <c r="H2091">
        <f>515+392</f>
        <v>907</v>
      </c>
    </row>
    <row r="2092" spans="1:8" x14ac:dyDescent="0.3">
      <c r="A2092" t="s">
        <v>47</v>
      </c>
      <c r="B2092" s="2" t="s">
        <v>2</v>
      </c>
      <c r="E2092" t="s">
        <v>90</v>
      </c>
      <c r="H2092">
        <v>1136</v>
      </c>
    </row>
    <row r="2093" spans="1:8" x14ac:dyDescent="0.3">
      <c r="A2093" t="s">
        <v>47</v>
      </c>
      <c r="B2093" s="2" t="s">
        <v>4</v>
      </c>
      <c r="E2093" t="s">
        <v>90</v>
      </c>
      <c r="H2093">
        <v>682</v>
      </c>
    </row>
    <row r="2094" spans="1:8" x14ac:dyDescent="0.3">
      <c r="A2094" t="s">
        <v>47</v>
      </c>
      <c r="B2094" s="2" t="s">
        <v>2</v>
      </c>
      <c r="E2094" t="s">
        <v>89</v>
      </c>
      <c r="H2094">
        <v>1195</v>
      </c>
    </row>
    <row r="2095" spans="1:8" x14ac:dyDescent="0.3">
      <c r="A2095" t="s">
        <v>47</v>
      </c>
      <c r="B2095" s="2" t="s">
        <v>4</v>
      </c>
      <c r="E2095" t="s">
        <v>89</v>
      </c>
      <c r="H2095">
        <v>568</v>
      </c>
    </row>
    <row r="2096" spans="1:8" x14ac:dyDescent="0.3">
      <c r="A2096" t="s">
        <v>47</v>
      </c>
      <c r="B2096" s="2" t="s">
        <v>2</v>
      </c>
      <c r="E2096" t="s">
        <v>60</v>
      </c>
      <c r="H2096">
        <v>100</v>
      </c>
    </row>
    <row r="2097" spans="1:8" x14ac:dyDescent="0.3">
      <c r="A2097" t="s">
        <v>47</v>
      </c>
      <c r="B2097" s="2" t="s">
        <v>4</v>
      </c>
      <c r="E2097" t="s">
        <v>60</v>
      </c>
      <c r="H2097">
        <v>35</v>
      </c>
    </row>
    <row r="2098" spans="1:8" x14ac:dyDescent="0.3">
      <c r="A2098" t="s">
        <v>47</v>
      </c>
      <c r="B2098" s="2" t="s">
        <v>2</v>
      </c>
      <c r="E2098" t="s">
        <v>61</v>
      </c>
      <c r="H2098">
        <v>465</v>
      </c>
    </row>
    <row r="2099" spans="1:8" x14ac:dyDescent="0.3">
      <c r="A2099" t="s">
        <v>47</v>
      </c>
      <c r="B2099" s="2" t="s">
        <v>4</v>
      </c>
      <c r="E2099" t="s">
        <v>61</v>
      </c>
      <c r="H2099">
        <v>174</v>
      </c>
    </row>
    <row r="2100" spans="1:8" x14ac:dyDescent="0.3">
      <c r="A2100" t="s">
        <v>47</v>
      </c>
      <c r="B2100" s="2" t="s">
        <v>2</v>
      </c>
      <c r="E2100" t="s">
        <v>92</v>
      </c>
      <c r="H2100">
        <v>23</v>
      </c>
    </row>
    <row r="2101" spans="1:8" x14ac:dyDescent="0.3">
      <c r="A2101" t="s">
        <v>47</v>
      </c>
      <c r="B2101" s="2" t="s">
        <v>4</v>
      </c>
      <c r="E2101" t="s">
        <v>92</v>
      </c>
      <c r="H2101">
        <v>2</v>
      </c>
    </row>
    <row r="2102" spans="1:8" x14ac:dyDescent="0.3">
      <c r="A2102" t="s">
        <v>47</v>
      </c>
      <c r="B2102" s="2" t="s">
        <v>2</v>
      </c>
      <c r="E2102" t="s">
        <v>62</v>
      </c>
      <c r="H2102">
        <v>308</v>
      </c>
    </row>
    <row r="2103" spans="1:8" x14ac:dyDescent="0.3">
      <c r="A2103" t="s">
        <v>47</v>
      </c>
      <c r="B2103" s="2" t="s">
        <v>4</v>
      </c>
      <c r="E2103" t="s">
        <v>62</v>
      </c>
      <c r="H2103">
        <v>184</v>
      </c>
    </row>
    <row r="2104" spans="1:8" x14ac:dyDescent="0.3">
      <c r="A2104" t="s">
        <v>47</v>
      </c>
      <c r="B2104" s="2" t="s">
        <v>2</v>
      </c>
      <c r="F2104" t="s">
        <v>64</v>
      </c>
      <c r="H2104">
        <v>1415</v>
      </c>
    </row>
    <row r="2105" spans="1:8" x14ac:dyDescent="0.3">
      <c r="A2105" t="s">
        <v>47</v>
      </c>
      <c r="B2105" s="2" t="s">
        <v>4</v>
      </c>
      <c r="F2105" t="s">
        <v>64</v>
      </c>
      <c r="H2105">
        <v>837</v>
      </c>
    </row>
    <row r="2106" spans="1:8" x14ac:dyDescent="0.3">
      <c r="A2106" t="s">
        <v>47</v>
      </c>
      <c r="B2106" s="2" t="s">
        <v>2</v>
      </c>
      <c r="F2106" t="s">
        <v>18</v>
      </c>
      <c r="H2106">
        <v>3300</v>
      </c>
    </row>
    <row r="2107" spans="1:8" x14ac:dyDescent="0.3">
      <c r="A2107" t="s">
        <v>47</v>
      </c>
      <c r="B2107" s="2" t="s">
        <v>4</v>
      </c>
      <c r="F2107" t="s">
        <v>18</v>
      </c>
      <c r="H2107">
        <v>1862</v>
      </c>
    </row>
    <row r="2108" spans="1:8" x14ac:dyDescent="0.3">
      <c r="A2108" t="s">
        <v>47</v>
      </c>
      <c r="B2108" s="2" t="s">
        <v>2</v>
      </c>
      <c r="F2108" t="s">
        <v>19</v>
      </c>
      <c r="H2108">
        <v>59</v>
      </c>
    </row>
    <row r="2109" spans="1:8" x14ac:dyDescent="0.3">
      <c r="A2109" t="s">
        <v>47</v>
      </c>
      <c r="B2109" s="2" t="s">
        <v>4</v>
      </c>
      <c r="F2109" t="s">
        <v>19</v>
      </c>
      <c r="H2109">
        <v>33</v>
      </c>
    </row>
    <row r="2110" spans="1:8" x14ac:dyDescent="0.3">
      <c r="A2110" t="s">
        <v>47</v>
      </c>
      <c r="B2110" s="2" t="s">
        <v>2</v>
      </c>
      <c r="F2110" t="s">
        <v>20</v>
      </c>
      <c r="H2110">
        <v>33</v>
      </c>
    </row>
    <row r="2111" spans="1:8" x14ac:dyDescent="0.3">
      <c r="A2111" t="s">
        <v>47</v>
      </c>
      <c r="B2111" s="2" t="s">
        <v>4</v>
      </c>
      <c r="F2111" t="s">
        <v>20</v>
      </c>
      <c r="H2111">
        <v>20</v>
      </c>
    </row>
    <row r="2112" spans="1:8" x14ac:dyDescent="0.3">
      <c r="A2112" t="s">
        <v>47</v>
      </c>
      <c r="B2112" s="2" t="s">
        <v>2</v>
      </c>
      <c r="F2112" t="s">
        <v>65</v>
      </c>
      <c r="H2112">
        <v>18</v>
      </c>
    </row>
    <row r="2113" spans="1:8" x14ac:dyDescent="0.3">
      <c r="A2113" t="s">
        <v>47</v>
      </c>
      <c r="B2113" s="2" t="s">
        <v>4</v>
      </c>
      <c r="F2113" t="s">
        <v>65</v>
      </c>
      <c r="H2113">
        <v>8</v>
      </c>
    </row>
    <row r="2114" spans="1:8" x14ac:dyDescent="0.3">
      <c r="A2114" t="s">
        <v>47</v>
      </c>
      <c r="B2114" s="2" t="s">
        <v>2</v>
      </c>
      <c r="F2114" t="s">
        <v>66</v>
      </c>
      <c r="H2114">
        <f>208+192</f>
        <v>400</v>
      </c>
    </row>
    <row r="2115" spans="1:8" x14ac:dyDescent="0.3">
      <c r="A2115" t="s">
        <v>47</v>
      </c>
      <c r="B2115" s="2" t="s">
        <v>4</v>
      </c>
      <c r="F2115" t="s">
        <v>66</v>
      </c>
      <c r="H2115">
        <v>191</v>
      </c>
    </row>
    <row r="2116" spans="1:8" x14ac:dyDescent="0.3">
      <c r="A2116" t="s">
        <v>47</v>
      </c>
      <c r="B2116" s="2" t="s">
        <v>4</v>
      </c>
      <c r="G2116" t="s">
        <v>68</v>
      </c>
      <c r="H2116">
        <v>1631</v>
      </c>
    </row>
    <row r="2117" spans="1:8" x14ac:dyDescent="0.3">
      <c r="A2117" t="s">
        <v>47</v>
      </c>
      <c r="B2117" s="2" t="s">
        <v>2</v>
      </c>
      <c r="G2117" t="s">
        <v>82</v>
      </c>
      <c r="H2117">
        <v>71</v>
      </c>
    </row>
    <row r="2118" spans="1:8" x14ac:dyDescent="0.3">
      <c r="A2118" t="s">
        <v>47</v>
      </c>
      <c r="B2118" s="2" t="s">
        <v>4</v>
      </c>
      <c r="G2118" t="s">
        <v>82</v>
      </c>
      <c r="H2118">
        <v>1</v>
      </c>
    </row>
    <row r="2119" spans="1:8" x14ac:dyDescent="0.3">
      <c r="A2119" t="s">
        <v>47</v>
      </c>
      <c r="B2119" s="2" t="s">
        <v>2</v>
      </c>
      <c r="G2119" t="s">
        <v>83</v>
      </c>
      <c r="H2119">
        <v>562</v>
      </c>
    </row>
    <row r="2120" spans="1:8" x14ac:dyDescent="0.3">
      <c r="A2120" t="s">
        <v>47</v>
      </c>
      <c r="B2120" s="2" t="s">
        <v>4</v>
      </c>
      <c r="G2120" t="s">
        <v>83</v>
      </c>
      <c r="H2120">
        <v>74</v>
      </c>
    </row>
    <row r="2121" spans="1:8" x14ac:dyDescent="0.3">
      <c r="A2121" t="s">
        <v>47</v>
      </c>
      <c r="B2121" s="2" t="s">
        <v>2</v>
      </c>
      <c r="G2121" t="s">
        <v>69</v>
      </c>
      <c r="H2121">
        <v>626</v>
      </c>
    </row>
    <row r="2122" spans="1:8" x14ac:dyDescent="0.3">
      <c r="A2122" t="s">
        <v>47</v>
      </c>
      <c r="B2122" s="2" t="s">
        <v>4</v>
      </c>
      <c r="G2122" t="s">
        <v>69</v>
      </c>
      <c r="H2122">
        <v>434</v>
      </c>
    </row>
    <row r="2123" spans="1:8" x14ac:dyDescent="0.3">
      <c r="A2123" t="s">
        <v>47</v>
      </c>
      <c r="B2123" s="2" t="s">
        <v>2</v>
      </c>
      <c r="G2123" t="s">
        <v>70</v>
      </c>
      <c r="H2123">
        <v>1294</v>
      </c>
    </row>
    <row r="2124" spans="1:8" x14ac:dyDescent="0.3">
      <c r="A2124" t="s">
        <v>47</v>
      </c>
      <c r="B2124" s="2" t="s">
        <v>4</v>
      </c>
      <c r="G2124" t="s">
        <v>70</v>
      </c>
      <c r="H2124">
        <v>247</v>
      </c>
    </row>
    <row r="2125" spans="1:8" x14ac:dyDescent="0.3">
      <c r="A2125" t="s">
        <v>47</v>
      </c>
      <c r="B2125" s="2" t="s">
        <v>2</v>
      </c>
      <c r="G2125" t="s">
        <v>84</v>
      </c>
      <c r="H2125">
        <v>972</v>
      </c>
    </row>
    <row r="2126" spans="1:8" x14ac:dyDescent="0.3">
      <c r="A2126" t="s">
        <v>47</v>
      </c>
      <c r="B2126" s="2" t="s">
        <v>4</v>
      </c>
      <c r="G2126" t="s">
        <v>84</v>
      </c>
      <c r="H2126">
        <v>39</v>
      </c>
    </row>
    <row r="2127" spans="1:8" x14ac:dyDescent="0.3">
      <c r="A2127" t="s">
        <v>47</v>
      </c>
      <c r="B2127" s="2" t="s">
        <v>2</v>
      </c>
      <c r="G2127" t="s">
        <v>85</v>
      </c>
      <c r="H2127">
        <v>352</v>
      </c>
    </row>
    <row r="2128" spans="1:8" x14ac:dyDescent="0.3">
      <c r="A2128" t="s">
        <v>47</v>
      </c>
      <c r="B2128" s="2" t="s">
        <v>4</v>
      </c>
      <c r="G2128" t="s">
        <v>85</v>
      </c>
      <c r="H2128">
        <v>61</v>
      </c>
    </row>
    <row r="2129" spans="1:8" x14ac:dyDescent="0.3">
      <c r="A2129" t="s">
        <v>47</v>
      </c>
      <c r="B2129" s="2" t="s">
        <v>2</v>
      </c>
      <c r="G2129" t="s">
        <v>71</v>
      </c>
      <c r="H2129">
        <v>441</v>
      </c>
    </row>
    <row r="2130" spans="1:8" x14ac:dyDescent="0.3">
      <c r="A2130" t="s">
        <v>47</v>
      </c>
      <c r="B2130" s="2" t="s">
        <v>4</v>
      </c>
      <c r="G2130" t="s">
        <v>71</v>
      </c>
      <c r="H2130">
        <v>49</v>
      </c>
    </row>
    <row r="2131" spans="1:8" x14ac:dyDescent="0.3">
      <c r="A2131" t="s">
        <v>47</v>
      </c>
      <c r="B2131" s="2" t="s">
        <v>2</v>
      </c>
      <c r="G2131" t="s">
        <v>72</v>
      </c>
      <c r="H2131">
        <v>907</v>
      </c>
    </row>
    <row r="2132" spans="1:8" x14ac:dyDescent="0.3">
      <c r="A2132" t="s">
        <v>47</v>
      </c>
      <c r="B2132" s="2" t="s">
        <v>4</v>
      </c>
      <c r="G2132" t="s">
        <v>72</v>
      </c>
      <c r="H2132">
        <v>415</v>
      </c>
    </row>
    <row r="2133" spans="1:8" x14ac:dyDescent="0.3">
      <c r="A2133" t="s">
        <v>48</v>
      </c>
      <c r="B2133" s="2" t="s">
        <v>2</v>
      </c>
      <c r="C2133" s="4" t="s">
        <v>13</v>
      </c>
      <c r="H2133" s="3">
        <v>29</v>
      </c>
    </row>
    <row r="2134" spans="1:8" x14ac:dyDescent="0.3">
      <c r="A2134" t="s">
        <v>48</v>
      </c>
      <c r="B2134" s="2" t="s">
        <v>4</v>
      </c>
      <c r="C2134" s="4" t="s">
        <v>13</v>
      </c>
      <c r="H2134" s="3">
        <v>9</v>
      </c>
    </row>
    <row r="2135" spans="1:8" x14ac:dyDescent="0.3">
      <c r="A2135" t="s">
        <v>48</v>
      </c>
      <c r="B2135" s="2" t="s">
        <v>2</v>
      </c>
      <c r="C2135" s="4" t="s">
        <v>104</v>
      </c>
      <c r="H2135" s="3">
        <v>6</v>
      </c>
    </row>
    <row r="2136" spans="1:8" x14ac:dyDescent="0.3">
      <c r="A2136" t="s">
        <v>48</v>
      </c>
      <c r="B2136" s="2" t="s">
        <v>4</v>
      </c>
      <c r="C2136" s="4" t="s">
        <v>104</v>
      </c>
      <c r="H2136" s="3">
        <v>23</v>
      </c>
    </row>
    <row r="2137" spans="1:8" x14ac:dyDescent="0.3">
      <c r="A2137" t="s">
        <v>48</v>
      </c>
      <c r="B2137" s="2" t="s">
        <v>2</v>
      </c>
      <c r="C2137" s="4" t="s">
        <v>7</v>
      </c>
      <c r="H2137" s="3">
        <v>318</v>
      </c>
    </row>
    <row r="2138" spans="1:8" x14ac:dyDescent="0.3">
      <c r="A2138" t="s">
        <v>48</v>
      </c>
      <c r="B2138" s="2" t="s">
        <v>4</v>
      </c>
      <c r="C2138" s="4" t="s">
        <v>7</v>
      </c>
      <c r="H2138" s="3">
        <f>133+25</f>
        <v>158</v>
      </c>
    </row>
    <row r="2139" spans="1:8" x14ac:dyDescent="0.3">
      <c r="A2139" t="s">
        <v>48</v>
      </c>
      <c r="B2139" s="2" t="s">
        <v>2</v>
      </c>
      <c r="C2139" s="4" t="s">
        <v>103</v>
      </c>
      <c r="H2139" s="3">
        <v>113</v>
      </c>
    </row>
    <row r="2140" spans="1:8" x14ac:dyDescent="0.3">
      <c r="A2140" t="s">
        <v>48</v>
      </c>
      <c r="B2140" s="2" t="s">
        <v>4</v>
      </c>
      <c r="C2140" s="4" t="s">
        <v>103</v>
      </c>
      <c r="H2140" s="3">
        <v>75</v>
      </c>
    </row>
    <row r="2141" spans="1:8" x14ac:dyDescent="0.3">
      <c r="A2141" t="s">
        <v>48</v>
      </c>
      <c r="B2141" s="2" t="s">
        <v>2</v>
      </c>
      <c r="C2141" s="4" t="s">
        <v>79</v>
      </c>
      <c r="H2141" s="3">
        <v>10</v>
      </c>
    </row>
    <row r="2142" spans="1:8" x14ac:dyDescent="0.3">
      <c r="A2142" t="s">
        <v>48</v>
      </c>
      <c r="B2142" s="2" t="s">
        <v>4</v>
      </c>
      <c r="C2142" s="4" t="s">
        <v>79</v>
      </c>
      <c r="H2142" s="3">
        <v>4</v>
      </c>
    </row>
    <row r="2143" spans="1:8" x14ac:dyDescent="0.3">
      <c r="A2143" t="s">
        <v>48</v>
      </c>
      <c r="B2143" s="2" t="s">
        <v>2</v>
      </c>
      <c r="C2143" s="4" t="s">
        <v>105</v>
      </c>
      <c r="H2143" s="3">
        <v>49</v>
      </c>
    </row>
    <row r="2144" spans="1:8" x14ac:dyDescent="0.3">
      <c r="A2144" t="s">
        <v>48</v>
      </c>
      <c r="B2144" s="2" t="s">
        <v>4</v>
      </c>
      <c r="C2144" s="4" t="s">
        <v>105</v>
      </c>
      <c r="H2144" s="3">
        <v>1</v>
      </c>
    </row>
    <row r="2145" spans="1:8" x14ac:dyDescent="0.3">
      <c r="A2145" t="s">
        <v>48</v>
      </c>
      <c r="B2145" s="2" t="s">
        <v>2</v>
      </c>
      <c r="C2145" s="4" t="s">
        <v>58</v>
      </c>
      <c r="H2145" s="3">
        <v>2</v>
      </c>
    </row>
    <row r="2146" spans="1:8" x14ac:dyDescent="0.3">
      <c r="A2146" t="s">
        <v>48</v>
      </c>
      <c r="B2146" s="2" t="s">
        <v>4</v>
      </c>
      <c r="C2146" s="4" t="s">
        <v>58</v>
      </c>
      <c r="H2146" s="3">
        <v>2</v>
      </c>
    </row>
    <row r="2147" spans="1:8" x14ac:dyDescent="0.3">
      <c r="A2147" t="s">
        <v>48</v>
      </c>
      <c r="B2147" s="2" t="s">
        <v>2</v>
      </c>
      <c r="C2147" s="4" t="s">
        <v>59</v>
      </c>
      <c r="H2147" s="3">
        <v>11</v>
      </c>
    </row>
    <row r="2148" spans="1:8" x14ac:dyDescent="0.3">
      <c r="A2148" t="s">
        <v>48</v>
      </c>
      <c r="B2148" s="2" t="s">
        <v>4</v>
      </c>
      <c r="C2148" s="4" t="s">
        <v>59</v>
      </c>
      <c r="H2148" s="3">
        <v>4</v>
      </c>
    </row>
    <row r="2149" spans="1:8" x14ac:dyDescent="0.3">
      <c r="A2149" t="s">
        <v>48</v>
      </c>
      <c r="B2149" s="2" t="s">
        <v>2</v>
      </c>
      <c r="D2149" t="s">
        <v>81</v>
      </c>
      <c r="H2149">
        <v>63</v>
      </c>
    </row>
    <row r="2150" spans="1:8" x14ac:dyDescent="0.3">
      <c r="A2150" t="s">
        <v>48</v>
      </c>
      <c r="B2150" s="2" t="s">
        <v>4</v>
      </c>
      <c r="D2150" t="s">
        <v>81</v>
      </c>
      <c r="H2150">
        <v>66</v>
      </c>
    </row>
    <row r="2151" spans="1:8" x14ac:dyDescent="0.3">
      <c r="A2151" t="s">
        <v>48</v>
      </c>
      <c r="B2151" s="2" t="s">
        <v>2</v>
      </c>
      <c r="D2151" t="s">
        <v>73</v>
      </c>
      <c r="H2151">
        <v>1</v>
      </c>
    </row>
    <row r="2152" spans="1:8" x14ac:dyDescent="0.3">
      <c r="A2152" t="s">
        <v>48</v>
      </c>
      <c r="B2152" s="2" t="s">
        <v>4</v>
      </c>
      <c r="D2152" t="s">
        <v>73</v>
      </c>
      <c r="H2152">
        <v>2</v>
      </c>
    </row>
    <row r="2153" spans="1:8" x14ac:dyDescent="0.3">
      <c r="A2153" t="s">
        <v>48</v>
      </c>
      <c r="B2153" s="2" t="s">
        <v>2</v>
      </c>
      <c r="D2153" t="s">
        <v>74</v>
      </c>
      <c r="H2153">
        <v>1</v>
      </c>
    </row>
    <row r="2154" spans="1:8" x14ac:dyDescent="0.3">
      <c r="A2154" t="s">
        <v>48</v>
      </c>
      <c r="B2154" s="2" t="s">
        <v>4</v>
      </c>
      <c r="D2154" t="s">
        <v>74</v>
      </c>
      <c r="H2154">
        <v>1</v>
      </c>
    </row>
    <row r="2155" spans="1:8" x14ac:dyDescent="0.3">
      <c r="A2155" t="s">
        <v>48</v>
      </c>
      <c r="B2155" s="2" t="s">
        <v>2</v>
      </c>
      <c r="D2155" t="s">
        <v>9</v>
      </c>
      <c r="H2155">
        <v>3</v>
      </c>
    </row>
    <row r="2156" spans="1:8" x14ac:dyDescent="0.3">
      <c r="A2156" t="s">
        <v>48</v>
      </c>
      <c r="B2156" s="2" t="s">
        <v>2</v>
      </c>
      <c r="D2156" t="s">
        <v>11</v>
      </c>
      <c r="H2156">
        <v>143</v>
      </c>
    </row>
    <row r="2157" spans="1:8" x14ac:dyDescent="0.3">
      <c r="A2157" t="s">
        <v>48</v>
      </c>
      <c r="B2157" s="2" t="s">
        <v>4</v>
      </c>
      <c r="D2157" t="s">
        <v>11</v>
      </c>
      <c r="H2157">
        <v>86</v>
      </c>
    </row>
    <row r="2158" spans="1:8" x14ac:dyDescent="0.3">
      <c r="A2158" t="s">
        <v>48</v>
      </c>
      <c r="B2158" s="2" t="s">
        <v>2</v>
      </c>
      <c r="D2158" t="s">
        <v>80</v>
      </c>
      <c r="H2158">
        <v>36</v>
      </c>
    </row>
    <row r="2159" spans="1:8" x14ac:dyDescent="0.3">
      <c r="A2159" t="s">
        <v>48</v>
      </c>
      <c r="B2159" s="2" t="s">
        <v>4</v>
      </c>
      <c r="D2159" t="s">
        <v>80</v>
      </c>
      <c r="H2159">
        <v>4</v>
      </c>
    </row>
    <row r="2160" spans="1:8" x14ac:dyDescent="0.3">
      <c r="A2160" t="s">
        <v>48</v>
      </c>
      <c r="B2160" s="2" t="s">
        <v>4</v>
      </c>
      <c r="D2160" t="s">
        <v>8</v>
      </c>
      <c r="H2160">
        <v>2</v>
      </c>
    </row>
    <row r="2161" spans="1:8" x14ac:dyDescent="0.3">
      <c r="A2161" t="s">
        <v>48</v>
      </c>
      <c r="B2161" s="2" t="s">
        <v>2</v>
      </c>
      <c r="D2161" t="s">
        <v>76</v>
      </c>
      <c r="H2161">
        <v>7</v>
      </c>
    </row>
    <row r="2162" spans="1:8" x14ac:dyDescent="0.3">
      <c r="A2162" t="s">
        <v>48</v>
      </c>
      <c r="B2162" s="2" t="s">
        <v>2</v>
      </c>
      <c r="D2162" t="s">
        <v>10</v>
      </c>
      <c r="H2162">
        <v>154</v>
      </c>
    </row>
    <row r="2163" spans="1:8" x14ac:dyDescent="0.3">
      <c r="A2163" t="s">
        <v>48</v>
      </c>
      <c r="B2163" s="2" t="s">
        <v>4</v>
      </c>
      <c r="D2163" t="s">
        <v>10</v>
      </c>
      <c r="H2163">
        <v>67</v>
      </c>
    </row>
    <row r="2164" spans="1:8" x14ac:dyDescent="0.3">
      <c r="A2164" t="s">
        <v>48</v>
      </c>
      <c r="B2164" s="2" t="s">
        <v>2</v>
      </c>
      <c r="D2164" t="s">
        <v>14</v>
      </c>
      <c r="H2164">
        <v>16</v>
      </c>
    </row>
    <row r="2165" spans="1:8" x14ac:dyDescent="0.3">
      <c r="A2165" t="s">
        <v>48</v>
      </c>
      <c r="B2165" s="2" t="s">
        <v>4</v>
      </c>
      <c r="D2165" t="s">
        <v>14</v>
      </c>
      <c r="H2165">
        <v>10</v>
      </c>
    </row>
    <row r="2166" spans="1:8" x14ac:dyDescent="0.3">
      <c r="A2166" t="s">
        <v>48</v>
      </c>
      <c r="B2166" s="2" t="s">
        <v>2</v>
      </c>
      <c r="D2166" t="s">
        <v>15</v>
      </c>
      <c r="H2166">
        <v>11</v>
      </c>
    </row>
    <row r="2167" spans="1:8" x14ac:dyDescent="0.3">
      <c r="A2167" t="s">
        <v>48</v>
      </c>
      <c r="B2167" s="2" t="s">
        <v>4</v>
      </c>
      <c r="D2167" t="s">
        <v>15</v>
      </c>
      <c r="H2167">
        <v>1</v>
      </c>
    </row>
    <row r="2168" spans="1:8" x14ac:dyDescent="0.3">
      <c r="A2168" t="s">
        <v>48</v>
      </c>
      <c r="B2168" s="2" t="s">
        <v>2</v>
      </c>
      <c r="D2168" t="s">
        <v>17</v>
      </c>
      <c r="H2168">
        <v>17</v>
      </c>
    </row>
    <row r="2169" spans="1:8" x14ac:dyDescent="0.3">
      <c r="A2169" t="s">
        <v>48</v>
      </c>
      <c r="B2169" s="2" t="s">
        <v>2</v>
      </c>
      <c r="D2169" t="s">
        <v>6</v>
      </c>
      <c r="H2169">
        <v>3</v>
      </c>
    </row>
    <row r="2170" spans="1:8" x14ac:dyDescent="0.3">
      <c r="A2170" t="s">
        <v>48</v>
      </c>
      <c r="B2170" s="2" t="s">
        <v>2</v>
      </c>
      <c r="D2170" t="s">
        <v>16</v>
      </c>
      <c r="H2170">
        <v>44</v>
      </c>
    </row>
    <row r="2171" spans="1:8" x14ac:dyDescent="0.3">
      <c r="A2171" t="s">
        <v>48</v>
      </c>
      <c r="B2171" s="2" t="s">
        <v>4</v>
      </c>
      <c r="D2171" t="s">
        <v>16</v>
      </c>
      <c r="H2171">
        <v>21</v>
      </c>
    </row>
    <row r="2172" spans="1:8" x14ac:dyDescent="0.3">
      <c r="A2172" t="s">
        <v>48</v>
      </c>
      <c r="B2172" s="2" t="s">
        <v>2</v>
      </c>
      <c r="D2172" t="s">
        <v>78</v>
      </c>
      <c r="H2172">
        <v>39</v>
      </c>
    </row>
    <row r="2173" spans="1:8" x14ac:dyDescent="0.3">
      <c r="A2173" t="s">
        <v>48</v>
      </c>
      <c r="B2173" s="2" t="s">
        <v>4</v>
      </c>
      <c r="D2173" t="s">
        <v>78</v>
      </c>
      <c r="H2173">
        <v>16</v>
      </c>
    </row>
    <row r="2174" spans="1:8" x14ac:dyDescent="0.3">
      <c r="A2174" t="s">
        <v>48</v>
      </c>
      <c r="B2174" s="2" t="s">
        <v>2</v>
      </c>
      <c r="E2174" t="s">
        <v>21</v>
      </c>
      <c r="H2174">
        <v>7</v>
      </c>
    </row>
    <row r="2175" spans="1:8" x14ac:dyDescent="0.3">
      <c r="A2175" t="s">
        <v>48</v>
      </c>
      <c r="B2175" s="2" t="s">
        <v>4</v>
      </c>
      <c r="E2175" t="s">
        <v>21</v>
      </c>
      <c r="H2175">
        <v>5</v>
      </c>
    </row>
    <row r="2176" spans="1:8" x14ac:dyDescent="0.3">
      <c r="A2176" t="s">
        <v>48</v>
      </c>
      <c r="B2176" s="2" t="s">
        <v>2</v>
      </c>
      <c r="E2176" t="s">
        <v>91</v>
      </c>
      <c r="H2176">
        <f>93+56</f>
        <v>149</v>
      </c>
    </row>
    <row r="2177" spans="1:8" x14ac:dyDescent="0.3">
      <c r="A2177" t="s">
        <v>48</v>
      </c>
      <c r="B2177" s="2" t="s">
        <v>4</v>
      </c>
      <c r="E2177" t="s">
        <v>91</v>
      </c>
      <c r="H2177">
        <f>65+39</f>
        <v>104</v>
      </c>
    </row>
    <row r="2178" spans="1:8" x14ac:dyDescent="0.3">
      <c r="A2178" t="s">
        <v>48</v>
      </c>
      <c r="B2178" s="2" t="s">
        <v>2</v>
      </c>
      <c r="E2178" t="s">
        <v>90</v>
      </c>
      <c r="H2178">
        <v>164</v>
      </c>
    </row>
    <row r="2179" spans="1:8" x14ac:dyDescent="0.3">
      <c r="A2179" t="s">
        <v>48</v>
      </c>
      <c r="B2179" s="2" t="s">
        <v>4</v>
      </c>
      <c r="E2179" t="s">
        <v>90</v>
      </c>
      <c r="H2179">
        <v>99</v>
      </c>
    </row>
    <row r="2180" spans="1:8" x14ac:dyDescent="0.3">
      <c r="A2180" t="s">
        <v>48</v>
      </c>
      <c r="B2180" s="2" t="s">
        <v>2</v>
      </c>
      <c r="E2180" t="s">
        <v>89</v>
      </c>
      <c r="H2180">
        <v>151</v>
      </c>
    </row>
    <row r="2181" spans="1:8" x14ac:dyDescent="0.3">
      <c r="A2181" t="s">
        <v>48</v>
      </c>
      <c r="B2181" s="2" t="s">
        <v>4</v>
      </c>
      <c r="E2181" t="s">
        <v>89</v>
      </c>
      <c r="H2181">
        <v>57</v>
      </c>
    </row>
    <row r="2182" spans="1:8" x14ac:dyDescent="0.3">
      <c r="A2182" t="s">
        <v>48</v>
      </c>
      <c r="B2182" s="2" t="s">
        <v>4</v>
      </c>
      <c r="E2182" t="s">
        <v>60</v>
      </c>
      <c r="H2182">
        <v>1</v>
      </c>
    </row>
    <row r="2183" spans="1:8" x14ac:dyDescent="0.3">
      <c r="A2183" t="s">
        <v>48</v>
      </c>
      <c r="B2183" s="2" t="s">
        <v>2</v>
      </c>
      <c r="E2183" t="s">
        <v>61</v>
      </c>
      <c r="H2183">
        <v>40</v>
      </c>
    </row>
    <row r="2184" spans="1:8" x14ac:dyDescent="0.3">
      <c r="A2184" t="s">
        <v>48</v>
      </c>
      <c r="B2184" s="2" t="s">
        <v>4</v>
      </c>
      <c r="E2184" t="s">
        <v>61</v>
      </c>
      <c r="H2184">
        <v>5</v>
      </c>
    </row>
    <row r="2185" spans="1:8" x14ac:dyDescent="0.3">
      <c r="A2185" t="s">
        <v>48</v>
      </c>
      <c r="B2185" s="2" t="s">
        <v>2</v>
      </c>
      <c r="E2185" t="s">
        <v>92</v>
      </c>
      <c r="H2185">
        <v>7</v>
      </c>
    </row>
    <row r="2186" spans="1:8" x14ac:dyDescent="0.3">
      <c r="A2186" t="s">
        <v>48</v>
      </c>
      <c r="B2186" s="2" t="s">
        <v>4</v>
      </c>
      <c r="E2186" t="s">
        <v>92</v>
      </c>
      <c r="H2186">
        <v>2</v>
      </c>
    </row>
    <row r="2187" spans="1:8" x14ac:dyDescent="0.3">
      <c r="A2187" t="s">
        <v>48</v>
      </c>
      <c r="B2187" s="2" t="s">
        <v>2</v>
      </c>
      <c r="E2187" t="s">
        <v>62</v>
      </c>
      <c r="H2187">
        <v>20</v>
      </c>
    </row>
    <row r="2188" spans="1:8" x14ac:dyDescent="0.3">
      <c r="A2188" t="s">
        <v>48</v>
      </c>
      <c r="B2188" s="2" t="s">
        <v>4</v>
      </c>
      <c r="E2188" t="s">
        <v>62</v>
      </c>
      <c r="H2188">
        <v>3</v>
      </c>
    </row>
    <row r="2189" spans="1:8" x14ac:dyDescent="0.3">
      <c r="A2189" t="s">
        <v>48</v>
      </c>
      <c r="B2189" s="2" t="s">
        <v>2</v>
      </c>
      <c r="F2189" t="s">
        <v>64</v>
      </c>
      <c r="H2189">
        <v>184</v>
      </c>
    </row>
    <row r="2190" spans="1:8" x14ac:dyDescent="0.3">
      <c r="A2190" t="s">
        <v>48</v>
      </c>
      <c r="B2190" s="2" t="s">
        <v>4</v>
      </c>
      <c r="F2190" t="s">
        <v>64</v>
      </c>
      <c r="H2190">
        <v>125</v>
      </c>
    </row>
    <row r="2191" spans="1:8" x14ac:dyDescent="0.3">
      <c r="A2191" t="s">
        <v>48</v>
      </c>
      <c r="B2191" s="2" t="s">
        <v>2</v>
      </c>
      <c r="F2191" t="s">
        <v>18</v>
      </c>
      <c r="H2191">
        <v>331</v>
      </c>
    </row>
    <row r="2192" spans="1:8" x14ac:dyDescent="0.3">
      <c r="A2192" t="s">
        <v>48</v>
      </c>
      <c r="B2192" s="2" t="s">
        <v>4</v>
      </c>
      <c r="F2192" t="s">
        <v>18</v>
      </c>
      <c r="H2192">
        <v>145</v>
      </c>
    </row>
    <row r="2193" spans="1:8" x14ac:dyDescent="0.3">
      <c r="A2193" t="s">
        <v>48</v>
      </c>
      <c r="B2193" s="2" t="s">
        <v>2</v>
      </c>
      <c r="F2193" t="s">
        <v>19</v>
      </c>
      <c r="H2193">
        <v>6</v>
      </c>
    </row>
    <row r="2194" spans="1:8" x14ac:dyDescent="0.3">
      <c r="A2194" t="s">
        <v>48</v>
      </c>
      <c r="B2194" s="2" t="s">
        <v>2</v>
      </c>
      <c r="F2194" t="s">
        <v>66</v>
      </c>
      <c r="H2194">
        <v>17</v>
      </c>
    </row>
    <row r="2195" spans="1:8" x14ac:dyDescent="0.3">
      <c r="A2195" t="s">
        <v>48</v>
      </c>
      <c r="B2195" s="2" t="s">
        <v>4</v>
      </c>
      <c r="F2195" t="s">
        <v>66</v>
      </c>
      <c r="H2195">
        <v>6</v>
      </c>
    </row>
    <row r="2196" spans="1:8" x14ac:dyDescent="0.3">
      <c r="A2196" t="s">
        <v>48</v>
      </c>
      <c r="B2196" s="2" t="s">
        <v>4</v>
      </c>
      <c r="G2196" t="s">
        <v>68</v>
      </c>
      <c r="H2196">
        <v>168</v>
      </c>
    </row>
    <row r="2197" spans="1:8" x14ac:dyDescent="0.3">
      <c r="A2197" t="s">
        <v>48</v>
      </c>
      <c r="B2197" s="2" t="s">
        <v>2</v>
      </c>
      <c r="G2197" t="s">
        <v>82</v>
      </c>
      <c r="H2197">
        <v>19</v>
      </c>
    </row>
    <row r="2198" spans="1:8" x14ac:dyDescent="0.3">
      <c r="A2198" t="s">
        <v>48</v>
      </c>
      <c r="B2198" s="2" t="s">
        <v>4</v>
      </c>
      <c r="G2198" t="s">
        <v>82</v>
      </c>
      <c r="H2198">
        <v>49</v>
      </c>
    </row>
    <row r="2199" spans="1:8" x14ac:dyDescent="0.3">
      <c r="A2199" t="s">
        <v>48</v>
      </c>
      <c r="B2199" s="2" t="s">
        <v>2</v>
      </c>
      <c r="G2199" t="s">
        <v>83</v>
      </c>
      <c r="H2199">
        <v>171</v>
      </c>
    </row>
    <row r="2200" spans="1:8" x14ac:dyDescent="0.3">
      <c r="A2200" t="s">
        <v>48</v>
      </c>
      <c r="B2200" s="2" t="s">
        <v>2</v>
      </c>
      <c r="G2200" t="s">
        <v>69</v>
      </c>
      <c r="H2200">
        <v>33</v>
      </c>
    </row>
    <row r="2201" spans="1:8" x14ac:dyDescent="0.3">
      <c r="A2201" t="s">
        <v>48</v>
      </c>
      <c r="B2201" s="2" t="s">
        <v>4</v>
      </c>
      <c r="G2201" t="s">
        <v>69</v>
      </c>
      <c r="H2201">
        <v>27</v>
      </c>
    </row>
    <row r="2202" spans="1:8" x14ac:dyDescent="0.3">
      <c r="A2202" t="s">
        <v>48</v>
      </c>
      <c r="B2202" s="2" t="s">
        <v>2</v>
      </c>
      <c r="G2202" t="s">
        <v>70</v>
      </c>
      <c r="H2202">
        <v>56</v>
      </c>
    </row>
    <row r="2203" spans="1:8" x14ac:dyDescent="0.3">
      <c r="A2203" t="s">
        <v>48</v>
      </c>
      <c r="B2203" s="2" t="s">
        <v>4</v>
      </c>
      <c r="G2203" t="s">
        <v>70</v>
      </c>
      <c r="H2203">
        <v>14</v>
      </c>
    </row>
    <row r="2204" spans="1:8" x14ac:dyDescent="0.3">
      <c r="A2204" t="s">
        <v>48</v>
      </c>
      <c r="B2204" s="2" t="s">
        <v>2</v>
      </c>
      <c r="G2204" t="s">
        <v>84</v>
      </c>
      <c r="H2204">
        <v>119</v>
      </c>
    </row>
    <row r="2205" spans="1:8" x14ac:dyDescent="0.3">
      <c r="A2205" t="s">
        <v>48</v>
      </c>
      <c r="B2205" s="2" t="s">
        <v>2</v>
      </c>
      <c r="G2205" t="s">
        <v>71</v>
      </c>
      <c r="H2205">
        <v>26</v>
      </c>
    </row>
    <row r="2206" spans="1:8" x14ac:dyDescent="0.3">
      <c r="A2206" t="s">
        <v>48</v>
      </c>
      <c r="B2206" s="2" t="s">
        <v>4</v>
      </c>
      <c r="G2206" t="s">
        <v>71</v>
      </c>
      <c r="H2206">
        <v>13</v>
      </c>
    </row>
    <row r="2207" spans="1:8" x14ac:dyDescent="0.3">
      <c r="A2207" t="s">
        <v>48</v>
      </c>
      <c r="B2207" s="2" t="s">
        <v>2</v>
      </c>
      <c r="G2207" t="s">
        <v>72</v>
      </c>
      <c r="H2207">
        <v>114</v>
      </c>
    </row>
    <row r="2208" spans="1:8" x14ac:dyDescent="0.3">
      <c r="A2208" t="s">
        <v>48</v>
      </c>
      <c r="B2208" s="2" t="s">
        <v>4</v>
      </c>
      <c r="G2208" t="s">
        <v>72</v>
      </c>
      <c r="H2208">
        <v>5</v>
      </c>
    </row>
    <row r="2209" spans="1:8" x14ac:dyDescent="0.3">
      <c r="A2209" t="s">
        <v>49</v>
      </c>
      <c r="B2209" s="2" t="s">
        <v>2</v>
      </c>
      <c r="C2209" s="4" t="s">
        <v>13</v>
      </c>
      <c r="H2209" s="3">
        <v>173</v>
      </c>
    </row>
    <row r="2210" spans="1:8" x14ac:dyDescent="0.3">
      <c r="A2210" t="s">
        <v>49</v>
      </c>
      <c r="B2210" s="2" t="s">
        <v>4</v>
      </c>
      <c r="C2210" s="4" t="s">
        <v>13</v>
      </c>
      <c r="H2210" s="3">
        <v>100</v>
      </c>
    </row>
    <row r="2211" spans="1:8" x14ac:dyDescent="0.3">
      <c r="A2211" t="s">
        <v>49</v>
      </c>
      <c r="B2211" s="2" t="s">
        <v>2</v>
      </c>
      <c r="C2211" s="4" t="s">
        <v>104</v>
      </c>
      <c r="H2211" s="3">
        <v>33</v>
      </c>
    </row>
    <row r="2212" spans="1:8" x14ac:dyDescent="0.3">
      <c r="A2212" t="s">
        <v>49</v>
      </c>
      <c r="B2212" s="2" t="s">
        <v>4</v>
      </c>
      <c r="C2212" s="4" t="s">
        <v>104</v>
      </c>
      <c r="H2212" s="3">
        <v>176</v>
      </c>
    </row>
    <row r="2213" spans="1:8" x14ac:dyDescent="0.3">
      <c r="A2213" t="s">
        <v>49</v>
      </c>
      <c r="B2213" s="2" t="s">
        <v>2</v>
      </c>
      <c r="C2213" s="4" t="s">
        <v>7</v>
      </c>
      <c r="H2213" s="3">
        <v>4251</v>
      </c>
    </row>
    <row r="2214" spans="1:8" x14ac:dyDescent="0.3">
      <c r="A2214" t="s">
        <v>49</v>
      </c>
      <c r="B2214" s="2" t="s">
        <v>4</v>
      </c>
      <c r="C2214" s="4" t="s">
        <v>7</v>
      </c>
      <c r="H2214" s="3">
        <f>2857-16</f>
        <v>2841</v>
      </c>
    </row>
    <row r="2215" spans="1:8" x14ac:dyDescent="0.3">
      <c r="A2215" t="s">
        <v>49</v>
      </c>
      <c r="B2215" s="2" t="s">
        <v>2</v>
      </c>
      <c r="C2215" s="4" t="s">
        <v>103</v>
      </c>
      <c r="H2215" s="3">
        <v>1265</v>
      </c>
    </row>
    <row r="2216" spans="1:8" x14ac:dyDescent="0.3">
      <c r="A2216" t="s">
        <v>49</v>
      </c>
      <c r="B2216" s="2" t="s">
        <v>4</v>
      </c>
      <c r="C2216" s="4" t="s">
        <v>103</v>
      </c>
      <c r="H2216" s="3">
        <v>525</v>
      </c>
    </row>
    <row r="2217" spans="1:8" x14ac:dyDescent="0.3">
      <c r="A2217" t="s">
        <v>49</v>
      </c>
      <c r="B2217" s="2" t="s">
        <v>2</v>
      </c>
      <c r="C2217" s="4" t="s">
        <v>79</v>
      </c>
      <c r="H2217" s="3">
        <v>17</v>
      </c>
    </row>
    <row r="2218" spans="1:8" x14ac:dyDescent="0.3">
      <c r="A2218" t="s">
        <v>49</v>
      </c>
      <c r="B2218" s="2" t="s">
        <v>4</v>
      </c>
      <c r="C2218" s="4" t="s">
        <v>79</v>
      </c>
      <c r="H2218" s="3">
        <v>10</v>
      </c>
    </row>
    <row r="2219" spans="1:8" x14ac:dyDescent="0.3">
      <c r="A2219" t="s">
        <v>49</v>
      </c>
      <c r="B2219" s="2" t="s">
        <v>2</v>
      </c>
      <c r="C2219" s="4" t="s">
        <v>105</v>
      </c>
      <c r="H2219" s="3">
        <v>22</v>
      </c>
    </row>
    <row r="2220" spans="1:8" x14ac:dyDescent="0.3">
      <c r="A2220" t="s">
        <v>49</v>
      </c>
      <c r="B2220" s="2" t="s">
        <v>4</v>
      </c>
      <c r="C2220" s="4" t="s">
        <v>105</v>
      </c>
      <c r="H2220" s="3">
        <v>4</v>
      </c>
    </row>
    <row r="2221" spans="1:8" x14ac:dyDescent="0.3">
      <c r="A2221" t="s">
        <v>49</v>
      </c>
      <c r="B2221" s="2" t="s">
        <v>2</v>
      </c>
      <c r="C2221" s="4" t="s">
        <v>58</v>
      </c>
      <c r="H2221" s="3">
        <v>1</v>
      </c>
    </row>
    <row r="2222" spans="1:8" x14ac:dyDescent="0.3">
      <c r="A2222" t="s">
        <v>49</v>
      </c>
      <c r="B2222" s="2" t="s">
        <v>4</v>
      </c>
      <c r="C2222" s="4" t="s">
        <v>58</v>
      </c>
      <c r="H2222" s="3">
        <v>4</v>
      </c>
    </row>
    <row r="2223" spans="1:8" x14ac:dyDescent="0.3">
      <c r="A2223" t="s">
        <v>49</v>
      </c>
      <c r="B2223" s="2" t="s">
        <v>2</v>
      </c>
      <c r="C2223" s="4" t="s">
        <v>59</v>
      </c>
      <c r="H2223" s="3">
        <v>2263</v>
      </c>
    </row>
    <row r="2224" spans="1:8" x14ac:dyDescent="0.3">
      <c r="A2224" t="s">
        <v>49</v>
      </c>
      <c r="B2224" s="2" t="s">
        <v>4</v>
      </c>
      <c r="C2224" s="4" t="s">
        <v>59</v>
      </c>
      <c r="H2224" s="3">
        <v>984</v>
      </c>
    </row>
    <row r="2225" spans="1:8" x14ac:dyDescent="0.3">
      <c r="A2225" t="s">
        <v>49</v>
      </c>
      <c r="B2225" s="2" t="s">
        <v>2</v>
      </c>
      <c r="D2225" t="s">
        <v>81</v>
      </c>
      <c r="H2225">
        <v>178</v>
      </c>
    </row>
    <row r="2226" spans="1:8" x14ac:dyDescent="0.3">
      <c r="A2226" t="s">
        <v>49</v>
      </c>
      <c r="B2226" s="2" t="s">
        <v>4</v>
      </c>
      <c r="D2226" t="s">
        <v>81</v>
      </c>
      <c r="H2226">
        <v>208</v>
      </c>
    </row>
    <row r="2227" spans="1:8" x14ac:dyDescent="0.3">
      <c r="A2227" t="s">
        <v>49</v>
      </c>
      <c r="B2227" s="2" t="s">
        <v>4</v>
      </c>
      <c r="D2227" t="s">
        <v>73</v>
      </c>
      <c r="H2227">
        <v>128</v>
      </c>
    </row>
    <row r="2228" spans="1:8" x14ac:dyDescent="0.3">
      <c r="A2228" t="s">
        <v>49</v>
      </c>
      <c r="B2228" s="2" t="s">
        <v>2</v>
      </c>
      <c r="D2228" t="s">
        <v>74</v>
      </c>
      <c r="H2228">
        <v>102</v>
      </c>
    </row>
    <row r="2229" spans="1:8" x14ac:dyDescent="0.3">
      <c r="A2229" t="s">
        <v>49</v>
      </c>
      <c r="B2229" s="2" t="s">
        <v>4</v>
      </c>
      <c r="D2229" t="s">
        <v>74</v>
      </c>
      <c r="H2229">
        <v>49</v>
      </c>
    </row>
    <row r="2230" spans="1:8" x14ac:dyDescent="0.3">
      <c r="A2230" t="s">
        <v>49</v>
      </c>
      <c r="B2230" s="2" t="s">
        <v>2</v>
      </c>
      <c r="D2230" t="s">
        <v>3</v>
      </c>
      <c r="H2230">
        <v>21</v>
      </c>
    </row>
    <row r="2231" spans="1:8" x14ac:dyDescent="0.3">
      <c r="A2231" t="s">
        <v>49</v>
      </c>
      <c r="B2231" s="2" t="s">
        <v>4</v>
      </c>
      <c r="D2231" t="s">
        <v>3</v>
      </c>
      <c r="H2231">
        <v>5</v>
      </c>
    </row>
    <row r="2232" spans="1:8" x14ac:dyDescent="0.3">
      <c r="A2232" t="s">
        <v>49</v>
      </c>
      <c r="B2232" s="2" t="s">
        <v>2</v>
      </c>
      <c r="D2232" t="s">
        <v>11</v>
      </c>
      <c r="H2232">
        <v>1539</v>
      </c>
    </row>
    <row r="2233" spans="1:8" x14ac:dyDescent="0.3">
      <c r="A2233" t="s">
        <v>49</v>
      </c>
      <c r="B2233" s="2" t="s">
        <v>4</v>
      </c>
      <c r="D2233" t="s">
        <v>11</v>
      </c>
      <c r="H2233">
        <v>1071</v>
      </c>
    </row>
    <row r="2234" spans="1:8" x14ac:dyDescent="0.3">
      <c r="A2234" t="s">
        <v>49</v>
      </c>
      <c r="B2234" s="2" t="s">
        <v>4</v>
      </c>
      <c r="D2234" t="s">
        <v>80</v>
      </c>
      <c r="H2234">
        <v>245</v>
      </c>
    </row>
    <row r="2235" spans="1:8" x14ac:dyDescent="0.3">
      <c r="A2235" t="s">
        <v>49</v>
      </c>
      <c r="B2235" s="2" t="s">
        <v>2</v>
      </c>
      <c r="D2235" t="s">
        <v>80</v>
      </c>
      <c r="H2235">
        <v>640</v>
      </c>
    </row>
    <row r="2236" spans="1:8" x14ac:dyDescent="0.3">
      <c r="A2236" t="s">
        <v>49</v>
      </c>
      <c r="B2236" s="2" t="s">
        <v>2</v>
      </c>
      <c r="D2236" t="s">
        <v>8</v>
      </c>
      <c r="H2236">
        <v>1</v>
      </c>
    </row>
    <row r="2237" spans="1:8" x14ac:dyDescent="0.3">
      <c r="A2237" t="s">
        <v>49</v>
      </c>
      <c r="B2237" s="2" t="s">
        <v>2</v>
      </c>
      <c r="D2237" t="s">
        <v>10</v>
      </c>
      <c r="H2237">
        <v>1</v>
      </c>
    </row>
    <row r="2238" spans="1:8" x14ac:dyDescent="0.3">
      <c r="A2238" t="s">
        <v>49</v>
      </c>
      <c r="B2238" s="2" t="s">
        <v>2</v>
      </c>
      <c r="D2238" t="s">
        <v>14</v>
      </c>
      <c r="H2238">
        <v>420</v>
      </c>
    </row>
    <row r="2239" spans="1:8" x14ac:dyDescent="0.3">
      <c r="A2239" t="s">
        <v>49</v>
      </c>
      <c r="B2239" s="2" t="s">
        <v>4</v>
      </c>
      <c r="D2239" t="s">
        <v>14</v>
      </c>
      <c r="H2239">
        <v>333</v>
      </c>
    </row>
    <row r="2240" spans="1:8" x14ac:dyDescent="0.3">
      <c r="A2240" t="s">
        <v>49</v>
      </c>
      <c r="B2240" s="2" t="s">
        <v>2</v>
      </c>
      <c r="D2240" t="s">
        <v>17</v>
      </c>
      <c r="H2240">
        <v>12</v>
      </c>
    </row>
    <row r="2241" spans="1:8" x14ac:dyDescent="0.3">
      <c r="A2241" t="s">
        <v>49</v>
      </c>
      <c r="B2241" s="2" t="s">
        <v>2</v>
      </c>
      <c r="D2241" t="s">
        <v>6</v>
      </c>
      <c r="H2241">
        <v>167</v>
      </c>
    </row>
    <row r="2242" spans="1:8" x14ac:dyDescent="0.3">
      <c r="A2242" t="s">
        <v>49</v>
      </c>
      <c r="B2242" s="2" t="s">
        <v>4</v>
      </c>
      <c r="D2242" t="s">
        <v>6</v>
      </c>
      <c r="H2242">
        <v>19</v>
      </c>
    </row>
    <row r="2243" spans="1:8" x14ac:dyDescent="0.3">
      <c r="A2243" t="s">
        <v>49</v>
      </c>
      <c r="B2243" s="2" t="s">
        <v>2</v>
      </c>
      <c r="D2243" t="s">
        <v>16</v>
      </c>
      <c r="H2243">
        <v>6</v>
      </c>
    </row>
    <row r="2244" spans="1:8" x14ac:dyDescent="0.3">
      <c r="A2244" t="s">
        <v>49</v>
      </c>
      <c r="B2244" s="2" t="s">
        <v>2</v>
      </c>
      <c r="D2244" t="s">
        <v>78</v>
      </c>
      <c r="H2244">
        <f>2633+2305</f>
        <v>4938</v>
      </c>
    </row>
    <row r="2245" spans="1:8" x14ac:dyDescent="0.3">
      <c r="A2245" t="s">
        <v>49</v>
      </c>
      <c r="B2245" s="2" t="s">
        <v>4</v>
      </c>
      <c r="D2245" t="s">
        <v>78</v>
      </c>
      <c r="H2245">
        <f>1455+1131</f>
        <v>2586</v>
      </c>
    </row>
    <row r="2246" spans="1:8" x14ac:dyDescent="0.3">
      <c r="A2246" t="s">
        <v>49</v>
      </c>
      <c r="B2246" s="2" t="s">
        <v>2</v>
      </c>
      <c r="E2246" t="s">
        <v>21</v>
      </c>
      <c r="H2246">
        <v>441</v>
      </c>
    </row>
    <row r="2247" spans="1:8" x14ac:dyDescent="0.3">
      <c r="A2247" t="s">
        <v>49</v>
      </c>
      <c r="B2247" s="2" t="s">
        <v>4</v>
      </c>
      <c r="E2247" t="s">
        <v>21</v>
      </c>
      <c r="H2247">
        <v>320</v>
      </c>
    </row>
    <row r="2248" spans="1:8" x14ac:dyDescent="0.3">
      <c r="A2248" t="s">
        <v>49</v>
      </c>
      <c r="B2248" s="2" t="s">
        <v>2</v>
      </c>
      <c r="E2248" t="s">
        <v>91</v>
      </c>
      <c r="H2248">
        <f>1443+929</f>
        <v>2372</v>
      </c>
    </row>
    <row r="2249" spans="1:8" x14ac:dyDescent="0.3">
      <c r="A2249" t="s">
        <v>49</v>
      </c>
      <c r="B2249" s="2" t="s">
        <v>4</v>
      </c>
      <c r="E2249" t="s">
        <v>91</v>
      </c>
      <c r="H2249">
        <f>892+528</f>
        <v>1420</v>
      </c>
    </row>
    <row r="2250" spans="1:8" x14ac:dyDescent="0.3">
      <c r="A2250" t="s">
        <v>49</v>
      </c>
      <c r="B2250" s="2" t="s">
        <v>2</v>
      </c>
      <c r="E2250" t="s">
        <v>90</v>
      </c>
      <c r="H2250">
        <v>1414</v>
      </c>
    </row>
    <row r="2251" spans="1:8" x14ac:dyDescent="0.3">
      <c r="A2251" t="s">
        <v>49</v>
      </c>
      <c r="B2251" s="2" t="s">
        <v>4</v>
      </c>
      <c r="E2251" t="s">
        <v>90</v>
      </c>
      <c r="H2251">
        <v>833</v>
      </c>
    </row>
    <row r="2252" spans="1:8" x14ac:dyDescent="0.3">
      <c r="A2252" t="s">
        <v>49</v>
      </c>
      <c r="B2252" s="2" t="s">
        <v>2</v>
      </c>
      <c r="E2252" t="s">
        <v>89</v>
      </c>
      <c r="H2252">
        <v>915</v>
      </c>
    </row>
    <row r="2253" spans="1:8" x14ac:dyDescent="0.3">
      <c r="A2253" t="s">
        <v>49</v>
      </c>
      <c r="B2253" s="2" t="s">
        <v>4</v>
      </c>
      <c r="E2253" t="s">
        <v>89</v>
      </c>
      <c r="H2253">
        <v>447</v>
      </c>
    </row>
    <row r="2254" spans="1:8" x14ac:dyDescent="0.3">
      <c r="A2254" t="s">
        <v>49</v>
      </c>
      <c r="B2254" s="2" t="s">
        <v>2</v>
      </c>
      <c r="E2254" t="s">
        <v>60</v>
      </c>
      <c r="H2254">
        <v>5</v>
      </c>
    </row>
    <row r="2255" spans="1:8" x14ac:dyDescent="0.3">
      <c r="A2255" t="s">
        <v>49</v>
      </c>
      <c r="B2255" s="2" t="s">
        <v>4</v>
      </c>
      <c r="E2255" t="s">
        <v>60</v>
      </c>
      <c r="H2255">
        <v>2</v>
      </c>
    </row>
    <row r="2256" spans="1:8" x14ac:dyDescent="0.3">
      <c r="A2256" t="s">
        <v>49</v>
      </c>
      <c r="B2256" s="2" t="s">
        <v>2</v>
      </c>
      <c r="E2256" t="s">
        <v>61</v>
      </c>
      <c r="H2256">
        <v>136</v>
      </c>
    </row>
    <row r="2257" spans="1:8" x14ac:dyDescent="0.3">
      <c r="A2257" t="s">
        <v>49</v>
      </c>
      <c r="B2257" s="2" t="s">
        <v>4</v>
      </c>
      <c r="E2257" t="s">
        <v>61</v>
      </c>
      <c r="H2257">
        <v>65</v>
      </c>
    </row>
    <row r="2258" spans="1:8" x14ac:dyDescent="0.3">
      <c r="A2258" t="s">
        <v>49</v>
      </c>
      <c r="B2258" s="2" t="s">
        <v>2</v>
      </c>
      <c r="E2258" t="s">
        <v>92</v>
      </c>
      <c r="H2258">
        <v>7</v>
      </c>
    </row>
    <row r="2259" spans="1:8" x14ac:dyDescent="0.3">
      <c r="A2259" t="s">
        <v>49</v>
      </c>
      <c r="B2259" s="2" t="s">
        <v>4</v>
      </c>
      <c r="E2259" t="s">
        <v>92</v>
      </c>
      <c r="H2259">
        <v>1</v>
      </c>
    </row>
    <row r="2260" spans="1:8" x14ac:dyDescent="0.3">
      <c r="A2260" t="s">
        <v>49</v>
      </c>
      <c r="B2260" s="2" t="s">
        <v>2</v>
      </c>
      <c r="E2260" t="s">
        <v>62</v>
      </c>
      <c r="H2260">
        <v>2735</v>
      </c>
    </row>
    <row r="2261" spans="1:8" x14ac:dyDescent="0.3">
      <c r="A2261" t="s">
        <v>49</v>
      </c>
      <c r="B2261" s="2" t="s">
        <v>4</v>
      </c>
      <c r="E2261" t="s">
        <v>62</v>
      </c>
      <c r="H2261">
        <v>1556</v>
      </c>
    </row>
    <row r="2262" spans="1:8" x14ac:dyDescent="0.3">
      <c r="A2262" t="s">
        <v>49</v>
      </c>
      <c r="B2262" s="2" t="s">
        <v>2</v>
      </c>
      <c r="F2262" t="s">
        <v>64</v>
      </c>
      <c r="H2262">
        <v>1626</v>
      </c>
    </row>
    <row r="2263" spans="1:8" x14ac:dyDescent="0.3">
      <c r="A2263" t="s">
        <v>49</v>
      </c>
      <c r="B2263" s="2" t="s">
        <v>4</v>
      </c>
      <c r="F2263" t="s">
        <v>64</v>
      </c>
      <c r="H2263">
        <v>1045</v>
      </c>
    </row>
    <row r="2264" spans="1:8" x14ac:dyDescent="0.3">
      <c r="A2264" t="s">
        <v>49</v>
      </c>
      <c r="B2264" s="2" t="s">
        <v>2</v>
      </c>
      <c r="F2264" t="s">
        <v>18</v>
      </c>
      <c r="H2264">
        <v>4227</v>
      </c>
    </row>
    <row r="2265" spans="1:8" x14ac:dyDescent="0.3">
      <c r="A2265" t="s">
        <v>49</v>
      </c>
      <c r="B2265" s="2" t="s">
        <v>4</v>
      </c>
      <c r="F2265" t="s">
        <v>18</v>
      </c>
      <c r="H2265">
        <v>2513</v>
      </c>
    </row>
    <row r="2266" spans="1:8" x14ac:dyDescent="0.3">
      <c r="A2266" t="s">
        <v>49</v>
      </c>
      <c r="B2266" s="2" t="s">
        <v>2</v>
      </c>
      <c r="F2266" t="s">
        <v>19</v>
      </c>
      <c r="H2266">
        <v>133</v>
      </c>
    </row>
    <row r="2267" spans="1:8" x14ac:dyDescent="0.3">
      <c r="A2267" t="s">
        <v>49</v>
      </c>
      <c r="B2267" s="2" t="s">
        <v>4</v>
      </c>
      <c r="F2267" t="s">
        <v>19</v>
      </c>
      <c r="H2267">
        <v>77</v>
      </c>
    </row>
    <row r="2268" spans="1:8" x14ac:dyDescent="0.3">
      <c r="A2268" t="s">
        <v>49</v>
      </c>
      <c r="B2268" s="2" t="s">
        <v>2</v>
      </c>
      <c r="F2268" t="s">
        <v>20</v>
      </c>
      <c r="H2268">
        <v>50</v>
      </c>
    </row>
    <row r="2269" spans="1:8" x14ac:dyDescent="0.3">
      <c r="A2269" t="s">
        <v>49</v>
      </c>
      <c r="B2269" s="2" t="s">
        <v>4</v>
      </c>
      <c r="F2269" t="s">
        <v>20</v>
      </c>
      <c r="H2269">
        <v>46</v>
      </c>
    </row>
    <row r="2270" spans="1:8" x14ac:dyDescent="0.3">
      <c r="A2270" t="s">
        <v>49</v>
      </c>
      <c r="B2270" s="2" t="s">
        <v>2</v>
      </c>
      <c r="F2270" t="s">
        <v>65</v>
      </c>
      <c r="H2270">
        <v>43</v>
      </c>
    </row>
    <row r="2271" spans="1:8" x14ac:dyDescent="0.3">
      <c r="A2271" t="s">
        <v>49</v>
      </c>
      <c r="B2271" s="2" t="s">
        <v>4</v>
      </c>
      <c r="F2271" t="s">
        <v>65</v>
      </c>
      <c r="H2271">
        <v>27</v>
      </c>
    </row>
    <row r="2272" spans="1:8" x14ac:dyDescent="0.3">
      <c r="A2272" t="s">
        <v>49</v>
      </c>
      <c r="B2272" s="2" t="s">
        <v>2</v>
      </c>
      <c r="F2272" t="s">
        <v>66</v>
      </c>
      <c r="H2272">
        <f>459+1487</f>
        <v>1946</v>
      </c>
    </row>
    <row r="2273" spans="1:8" x14ac:dyDescent="0.3">
      <c r="A2273" t="s">
        <v>49</v>
      </c>
      <c r="B2273" s="2" t="s">
        <v>4</v>
      </c>
      <c r="F2273" t="s">
        <v>66</v>
      </c>
      <c r="H2273">
        <v>936</v>
      </c>
    </row>
    <row r="2274" spans="1:8" x14ac:dyDescent="0.3">
      <c r="A2274" t="s">
        <v>49</v>
      </c>
      <c r="B2274" s="2" t="s">
        <v>4</v>
      </c>
      <c r="G2274" t="s">
        <v>68</v>
      </c>
      <c r="H2274">
        <v>1978</v>
      </c>
    </row>
    <row r="2275" spans="1:8" x14ac:dyDescent="0.3">
      <c r="A2275" t="s">
        <v>49</v>
      </c>
      <c r="B2275" s="2" t="s">
        <v>2</v>
      </c>
      <c r="G2275" t="s">
        <v>82</v>
      </c>
      <c r="H2275">
        <v>84</v>
      </c>
    </row>
    <row r="2276" spans="1:8" x14ac:dyDescent="0.3">
      <c r="A2276" t="s">
        <v>49</v>
      </c>
      <c r="B2276" s="2" t="s">
        <v>4</v>
      </c>
      <c r="G2276" t="s">
        <v>82</v>
      </c>
      <c r="H2276">
        <v>20</v>
      </c>
    </row>
    <row r="2277" spans="1:8" x14ac:dyDescent="0.3">
      <c r="A2277" t="s">
        <v>49</v>
      </c>
      <c r="B2277" s="2" t="s">
        <v>2</v>
      </c>
      <c r="G2277" t="s">
        <v>83</v>
      </c>
      <c r="H2277">
        <v>595</v>
      </c>
    </row>
    <row r="2278" spans="1:8" x14ac:dyDescent="0.3">
      <c r="A2278" t="s">
        <v>49</v>
      </c>
      <c r="B2278" s="2" t="s">
        <v>4</v>
      </c>
      <c r="G2278" t="s">
        <v>83</v>
      </c>
      <c r="H2278">
        <v>135</v>
      </c>
    </row>
    <row r="2279" spans="1:8" x14ac:dyDescent="0.3">
      <c r="A2279" t="s">
        <v>49</v>
      </c>
      <c r="B2279" s="2" t="s">
        <v>2</v>
      </c>
      <c r="G2279" t="s">
        <v>69</v>
      </c>
      <c r="H2279">
        <v>185</v>
      </c>
    </row>
    <row r="2280" spans="1:8" x14ac:dyDescent="0.3">
      <c r="A2280" t="s">
        <v>49</v>
      </c>
      <c r="B2280" s="2" t="s">
        <v>4</v>
      </c>
      <c r="G2280" t="s">
        <v>69</v>
      </c>
      <c r="H2280">
        <v>169</v>
      </c>
    </row>
    <row r="2281" spans="1:8" x14ac:dyDescent="0.3">
      <c r="A2281" t="s">
        <v>49</v>
      </c>
      <c r="B2281" s="2" t="s">
        <v>2</v>
      </c>
      <c r="G2281" t="s">
        <v>70</v>
      </c>
      <c r="H2281">
        <v>140</v>
      </c>
    </row>
    <row r="2282" spans="1:8" x14ac:dyDescent="0.3">
      <c r="A2282" t="s">
        <v>49</v>
      </c>
      <c r="B2282" s="2" t="s">
        <v>4</v>
      </c>
      <c r="G2282" t="s">
        <v>70</v>
      </c>
      <c r="H2282">
        <v>9</v>
      </c>
    </row>
    <row r="2283" spans="1:8" x14ac:dyDescent="0.3">
      <c r="A2283" t="s">
        <v>49</v>
      </c>
      <c r="B2283" s="2" t="s">
        <v>2</v>
      </c>
      <c r="G2283" t="s">
        <v>84</v>
      </c>
      <c r="H2283">
        <v>1064</v>
      </c>
    </row>
    <row r="2284" spans="1:8" x14ac:dyDescent="0.3">
      <c r="A2284" t="s">
        <v>49</v>
      </c>
      <c r="B2284" s="2" t="s">
        <v>4</v>
      </c>
      <c r="G2284" t="s">
        <v>84</v>
      </c>
      <c r="H2284">
        <v>198</v>
      </c>
    </row>
    <row r="2285" spans="1:8" x14ac:dyDescent="0.3">
      <c r="A2285" t="s">
        <v>49</v>
      </c>
      <c r="B2285" s="2" t="s">
        <v>2</v>
      </c>
      <c r="G2285" t="s">
        <v>71</v>
      </c>
      <c r="H2285">
        <v>933</v>
      </c>
    </row>
    <row r="2286" spans="1:8" x14ac:dyDescent="0.3">
      <c r="A2286" t="s">
        <v>49</v>
      </c>
      <c r="B2286" s="2" t="s">
        <v>4</v>
      </c>
      <c r="G2286" t="s">
        <v>71</v>
      </c>
      <c r="H2286">
        <v>55</v>
      </c>
    </row>
    <row r="2287" spans="1:8" x14ac:dyDescent="0.3">
      <c r="A2287" t="s">
        <v>49</v>
      </c>
      <c r="B2287" s="2" t="s">
        <v>2</v>
      </c>
      <c r="G2287" t="s">
        <v>72</v>
      </c>
      <c r="H2287">
        <v>5024</v>
      </c>
    </row>
    <row r="2288" spans="1:8" x14ac:dyDescent="0.3">
      <c r="A2288" t="s">
        <v>49</v>
      </c>
      <c r="B2288" s="2" t="s">
        <v>4</v>
      </c>
      <c r="G2288" t="s">
        <v>72</v>
      </c>
      <c r="H2288">
        <v>2080</v>
      </c>
    </row>
    <row r="2289" spans="1:8" x14ac:dyDescent="0.3">
      <c r="A2289" t="s">
        <v>50</v>
      </c>
      <c r="B2289" s="2" t="s">
        <v>2</v>
      </c>
      <c r="C2289" s="4" t="s">
        <v>13</v>
      </c>
      <c r="H2289" s="3">
        <v>1</v>
      </c>
    </row>
    <row r="2290" spans="1:8" x14ac:dyDescent="0.3">
      <c r="A2290" t="s">
        <v>50</v>
      </c>
      <c r="B2290" s="2" t="s">
        <v>2</v>
      </c>
      <c r="C2290" s="4" t="s">
        <v>104</v>
      </c>
      <c r="H2290" s="3">
        <v>2</v>
      </c>
    </row>
    <row r="2291" spans="1:8" x14ac:dyDescent="0.3">
      <c r="A2291" t="s">
        <v>50</v>
      </c>
      <c r="B2291" s="2" t="s">
        <v>2</v>
      </c>
      <c r="C2291" s="4" t="s">
        <v>7</v>
      </c>
      <c r="H2291" s="3">
        <v>133</v>
      </c>
    </row>
    <row r="2292" spans="1:8" x14ac:dyDescent="0.3">
      <c r="A2292" t="s">
        <v>50</v>
      </c>
      <c r="B2292" s="2" t="s">
        <v>4</v>
      </c>
      <c r="C2292" s="4" t="s">
        <v>7</v>
      </c>
      <c r="H2292" s="3">
        <v>31</v>
      </c>
    </row>
    <row r="2293" spans="1:8" x14ac:dyDescent="0.3">
      <c r="A2293" t="s">
        <v>50</v>
      </c>
      <c r="B2293" s="2" t="s">
        <v>2</v>
      </c>
      <c r="C2293" s="4" t="s">
        <v>103</v>
      </c>
      <c r="H2293" s="3">
        <v>4</v>
      </c>
    </row>
    <row r="2294" spans="1:8" x14ac:dyDescent="0.3">
      <c r="A2294" t="s">
        <v>50</v>
      </c>
      <c r="B2294" s="2" t="s">
        <v>2</v>
      </c>
      <c r="D2294" t="s">
        <v>16</v>
      </c>
      <c r="H2294">
        <v>2</v>
      </c>
    </row>
    <row r="2295" spans="1:8" x14ac:dyDescent="0.3">
      <c r="A2295" t="s">
        <v>50</v>
      </c>
      <c r="B2295" s="2" t="s">
        <v>2</v>
      </c>
      <c r="D2295" t="s">
        <v>81</v>
      </c>
      <c r="H2295">
        <v>1</v>
      </c>
    </row>
    <row r="2296" spans="1:8" x14ac:dyDescent="0.3">
      <c r="A2296" t="s">
        <v>50</v>
      </c>
      <c r="B2296" s="2" t="s">
        <v>2</v>
      </c>
      <c r="D2296" t="s">
        <v>11</v>
      </c>
      <c r="H2296">
        <v>22</v>
      </c>
    </row>
    <row r="2297" spans="1:8" x14ac:dyDescent="0.3">
      <c r="A2297" t="s">
        <v>50</v>
      </c>
      <c r="B2297" s="2" t="s">
        <v>4</v>
      </c>
      <c r="D2297" t="s">
        <v>11</v>
      </c>
      <c r="H2297">
        <v>3</v>
      </c>
    </row>
    <row r="2298" spans="1:8" x14ac:dyDescent="0.3">
      <c r="A2298" t="s">
        <v>50</v>
      </c>
      <c r="B2298" s="2" t="s">
        <v>2</v>
      </c>
      <c r="D2298" t="s">
        <v>80</v>
      </c>
      <c r="H2298">
        <v>64</v>
      </c>
    </row>
    <row r="2299" spans="1:8" x14ac:dyDescent="0.3">
      <c r="A2299" t="s">
        <v>50</v>
      </c>
      <c r="B2299" s="2" t="s">
        <v>4</v>
      </c>
      <c r="D2299" t="s">
        <v>80</v>
      </c>
      <c r="H2299">
        <v>18</v>
      </c>
    </row>
    <row r="2300" spans="1:8" x14ac:dyDescent="0.3">
      <c r="A2300" t="s">
        <v>50</v>
      </c>
      <c r="B2300" s="2" t="s">
        <v>2</v>
      </c>
      <c r="D2300" t="s">
        <v>8</v>
      </c>
      <c r="H2300">
        <v>3</v>
      </c>
    </row>
    <row r="2301" spans="1:8" x14ac:dyDescent="0.3">
      <c r="A2301" t="s">
        <v>50</v>
      </c>
      <c r="B2301" s="2" t="s">
        <v>2</v>
      </c>
      <c r="D2301" t="s">
        <v>76</v>
      </c>
      <c r="H2301">
        <v>13</v>
      </c>
    </row>
    <row r="2302" spans="1:8" x14ac:dyDescent="0.3">
      <c r="A2302" t="s">
        <v>50</v>
      </c>
      <c r="B2302" s="2" t="s">
        <v>2</v>
      </c>
      <c r="D2302" t="s">
        <v>14</v>
      </c>
      <c r="H2302">
        <v>7</v>
      </c>
    </row>
    <row r="2303" spans="1:8" x14ac:dyDescent="0.3">
      <c r="A2303" t="s">
        <v>50</v>
      </c>
      <c r="B2303" s="2" t="s">
        <v>4</v>
      </c>
      <c r="D2303" t="s">
        <v>14</v>
      </c>
      <c r="H2303">
        <v>1</v>
      </c>
    </row>
    <row r="2304" spans="1:8" x14ac:dyDescent="0.3">
      <c r="A2304" t="s">
        <v>50</v>
      </c>
      <c r="B2304" s="2" t="s">
        <v>2</v>
      </c>
      <c r="D2304" t="s">
        <v>17</v>
      </c>
      <c r="H2304">
        <v>1</v>
      </c>
    </row>
    <row r="2305" spans="1:8" x14ac:dyDescent="0.3">
      <c r="A2305" t="s">
        <v>50</v>
      </c>
      <c r="B2305" s="2" t="s">
        <v>4</v>
      </c>
      <c r="D2305" t="s">
        <v>81</v>
      </c>
      <c r="H2305">
        <v>1</v>
      </c>
    </row>
    <row r="2306" spans="1:8" x14ac:dyDescent="0.3">
      <c r="A2306" t="s">
        <v>50</v>
      </c>
      <c r="B2306" s="2" t="s">
        <v>2</v>
      </c>
      <c r="D2306" t="s">
        <v>78</v>
      </c>
      <c r="H2306">
        <v>27</v>
      </c>
    </row>
    <row r="2307" spans="1:8" x14ac:dyDescent="0.3">
      <c r="A2307" t="s">
        <v>50</v>
      </c>
      <c r="B2307" s="2" t="s">
        <v>4</v>
      </c>
      <c r="D2307" t="s">
        <v>78</v>
      </c>
      <c r="H2307">
        <v>8</v>
      </c>
    </row>
    <row r="2308" spans="1:8" x14ac:dyDescent="0.3">
      <c r="A2308" t="s">
        <v>50</v>
      </c>
      <c r="B2308" s="2" t="s">
        <v>2</v>
      </c>
      <c r="E2308" t="s">
        <v>21</v>
      </c>
      <c r="H2308">
        <v>7</v>
      </c>
    </row>
    <row r="2309" spans="1:8" x14ac:dyDescent="0.3">
      <c r="A2309" t="s">
        <v>50</v>
      </c>
      <c r="B2309" s="2" t="s">
        <v>4</v>
      </c>
      <c r="E2309" t="s">
        <v>21</v>
      </c>
      <c r="H2309">
        <v>1</v>
      </c>
    </row>
    <row r="2310" spans="1:8" x14ac:dyDescent="0.3">
      <c r="A2310" t="s">
        <v>50</v>
      </c>
      <c r="B2310" s="2" t="s">
        <v>2</v>
      </c>
      <c r="E2310" t="s">
        <v>91</v>
      </c>
      <c r="H2310">
        <f>25+16</f>
        <v>41</v>
      </c>
    </row>
    <row r="2311" spans="1:8" x14ac:dyDescent="0.3">
      <c r="A2311" t="s">
        <v>50</v>
      </c>
      <c r="B2311" s="2" t="s">
        <v>4</v>
      </c>
      <c r="E2311" t="s">
        <v>91</v>
      </c>
      <c r="H2311">
        <v>11</v>
      </c>
    </row>
    <row r="2312" spans="1:8" x14ac:dyDescent="0.3">
      <c r="A2312" t="s">
        <v>50</v>
      </c>
      <c r="B2312" s="2" t="s">
        <v>2</v>
      </c>
      <c r="E2312" t="s">
        <v>90</v>
      </c>
      <c r="H2312">
        <v>30</v>
      </c>
    </row>
    <row r="2313" spans="1:8" x14ac:dyDescent="0.3">
      <c r="A2313" t="s">
        <v>50</v>
      </c>
      <c r="B2313" s="2" t="s">
        <v>4</v>
      </c>
      <c r="E2313" t="s">
        <v>90</v>
      </c>
      <c r="H2313">
        <v>4</v>
      </c>
    </row>
    <row r="2314" spans="1:8" x14ac:dyDescent="0.3">
      <c r="A2314" t="s">
        <v>50</v>
      </c>
      <c r="B2314" s="2" t="s">
        <v>2</v>
      </c>
      <c r="E2314" t="s">
        <v>89</v>
      </c>
      <c r="H2314">
        <v>24</v>
      </c>
    </row>
    <row r="2315" spans="1:8" x14ac:dyDescent="0.3">
      <c r="A2315" t="s">
        <v>50</v>
      </c>
      <c r="B2315" s="2" t="s">
        <v>4</v>
      </c>
      <c r="E2315" t="s">
        <v>89</v>
      </c>
      <c r="H2315">
        <v>4</v>
      </c>
    </row>
    <row r="2316" spans="1:8" x14ac:dyDescent="0.3">
      <c r="A2316" t="s">
        <v>50</v>
      </c>
      <c r="B2316" s="2" t="s">
        <v>2</v>
      </c>
      <c r="E2316" t="s">
        <v>60</v>
      </c>
      <c r="H2316">
        <v>13</v>
      </c>
    </row>
    <row r="2317" spans="1:8" x14ac:dyDescent="0.3">
      <c r="A2317" t="s">
        <v>50</v>
      </c>
      <c r="B2317" s="2" t="s">
        <v>4</v>
      </c>
      <c r="E2317" t="s">
        <v>60</v>
      </c>
      <c r="H2317">
        <v>1</v>
      </c>
    </row>
    <row r="2318" spans="1:8" x14ac:dyDescent="0.3">
      <c r="A2318" t="s">
        <v>50</v>
      </c>
      <c r="B2318" s="2" t="s">
        <v>2</v>
      </c>
      <c r="E2318" t="s">
        <v>61</v>
      </c>
      <c r="H2318">
        <v>2</v>
      </c>
    </row>
    <row r="2319" spans="1:8" x14ac:dyDescent="0.3">
      <c r="A2319" t="s">
        <v>50</v>
      </c>
      <c r="B2319" s="2" t="s">
        <v>4</v>
      </c>
      <c r="E2319" t="s">
        <v>61</v>
      </c>
      <c r="H2319">
        <v>1</v>
      </c>
    </row>
    <row r="2320" spans="1:8" x14ac:dyDescent="0.3">
      <c r="A2320" t="s">
        <v>50</v>
      </c>
      <c r="B2320" s="2" t="s">
        <v>2</v>
      </c>
      <c r="E2320" t="s">
        <v>62</v>
      </c>
      <c r="H2320">
        <v>23</v>
      </c>
    </row>
    <row r="2321" spans="1:8" x14ac:dyDescent="0.3">
      <c r="A2321" t="s">
        <v>50</v>
      </c>
      <c r="B2321" s="2" t="s">
        <v>4</v>
      </c>
      <c r="E2321" t="s">
        <v>62</v>
      </c>
      <c r="H2321">
        <v>9</v>
      </c>
    </row>
    <row r="2322" spans="1:8" x14ac:dyDescent="0.3">
      <c r="A2322" t="s">
        <v>50</v>
      </c>
      <c r="B2322" s="2" t="s">
        <v>2</v>
      </c>
      <c r="F2322" t="s">
        <v>64</v>
      </c>
      <c r="H2322">
        <v>52</v>
      </c>
    </row>
    <row r="2323" spans="1:8" x14ac:dyDescent="0.3">
      <c r="A2323" t="s">
        <v>50</v>
      </c>
      <c r="B2323" s="2" t="s">
        <v>4</v>
      </c>
      <c r="F2323" t="s">
        <v>64</v>
      </c>
      <c r="H2323">
        <v>6</v>
      </c>
    </row>
    <row r="2324" spans="1:8" x14ac:dyDescent="0.3">
      <c r="A2324" t="s">
        <v>50</v>
      </c>
      <c r="B2324" s="2" t="s">
        <v>2</v>
      </c>
      <c r="F2324" t="s">
        <v>18</v>
      </c>
      <c r="H2324">
        <v>84</v>
      </c>
    </row>
    <row r="2325" spans="1:8" x14ac:dyDescent="0.3">
      <c r="A2325" t="s">
        <v>50</v>
      </c>
      <c r="B2325" s="2" t="s">
        <v>4</v>
      </c>
      <c r="F2325" t="s">
        <v>18</v>
      </c>
      <c r="H2325">
        <v>20</v>
      </c>
    </row>
    <row r="2326" spans="1:8" x14ac:dyDescent="0.3">
      <c r="A2326" t="s">
        <v>50</v>
      </c>
      <c r="B2326" s="2" t="s">
        <v>2</v>
      </c>
      <c r="F2326" t="s">
        <v>19</v>
      </c>
      <c r="H2326">
        <v>3</v>
      </c>
    </row>
    <row r="2327" spans="1:8" x14ac:dyDescent="0.3">
      <c r="A2327" t="s">
        <v>50</v>
      </c>
      <c r="B2327" s="2" t="s">
        <v>4</v>
      </c>
      <c r="F2327" t="s">
        <v>19</v>
      </c>
      <c r="H2327">
        <v>4</v>
      </c>
    </row>
    <row r="2328" spans="1:8" x14ac:dyDescent="0.3">
      <c r="A2328" t="s">
        <v>50</v>
      </c>
      <c r="B2328" s="2" t="s">
        <v>4</v>
      </c>
      <c r="F2328" t="s">
        <v>20</v>
      </c>
      <c r="H2328">
        <v>1</v>
      </c>
    </row>
    <row r="2329" spans="1:8" x14ac:dyDescent="0.3">
      <c r="A2329" t="s">
        <v>50</v>
      </c>
      <c r="B2329" s="2" t="s">
        <v>2</v>
      </c>
      <c r="F2329" t="s">
        <v>66</v>
      </c>
      <c r="H2329">
        <v>1</v>
      </c>
    </row>
    <row r="2330" spans="1:8" x14ac:dyDescent="0.3">
      <c r="A2330" t="s">
        <v>50</v>
      </c>
      <c r="B2330" s="2" t="s">
        <v>4</v>
      </c>
      <c r="G2330" t="s">
        <v>68</v>
      </c>
      <c r="H2330">
        <v>15</v>
      </c>
    </row>
    <row r="2331" spans="1:8" x14ac:dyDescent="0.3">
      <c r="A2331" t="s">
        <v>50</v>
      </c>
      <c r="B2331" s="2" t="s">
        <v>2</v>
      </c>
      <c r="G2331" t="s">
        <v>82</v>
      </c>
      <c r="H2331">
        <v>19</v>
      </c>
    </row>
    <row r="2332" spans="1:8" x14ac:dyDescent="0.3">
      <c r="A2332" t="s">
        <v>50</v>
      </c>
      <c r="B2332" s="2" t="s">
        <v>4</v>
      </c>
      <c r="G2332" t="s">
        <v>82</v>
      </c>
      <c r="H2332">
        <v>3</v>
      </c>
    </row>
    <row r="2333" spans="1:8" x14ac:dyDescent="0.3">
      <c r="A2333" t="s">
        <v>50</v>
      </c>
      <c r="B2333" s="2" t="s">
        <v>2</v>
      </c>
      <c r="G2333" t="s">
        <v>83</v>
      </c>
      <c r="H2333">
        <v>45</v>
      </c>
    </row>
    <row r="2334" spans="1:8" x14ac:dyDescent="0.3">
      <c r="A2334" t="s">
        <v>50</v>
      </c>
      <c r="B2334" s="2" t="s">
        <v>4</v>
      </c>
      <c r="G2334" t="s">
        <v>83</v>
      </c>
      <c r="H2334">
        <v>1</v>
      </c>
    </row>
    <row r="2335" spans="1:8" x14ac:dyDescent="0.3">
      <c r="A2335" t="s">
        <v>50</v>
      </c>
      <c r="B2335" s="2" t="s">
        <v>2</v>
      </c>
      <c r="G2335" t="s">
        <v>69</v>
      </c>
      <c r="H2335">
        <v>11</v>
      </c>
    </row>
    <row r="2336" spans="1:8" x14ac:dyDescent="0.3">
      <c r="A2336" t="s">
        <v>50</v>
      </c>
      <c r="B2336" s="2" t="s">
        <v>4</v>
      </c>
      <c r="G2336" t="s">
        <v>69</v>
      </c>
      <c r="H2336">
        <v>5</v>
      </c>
    </row>
    <row r="2337" spans="1:8" x14ac:dyDescent="0.3">
      <c r="A2337" t="s">
        <v>50</v>
      </c>
      <c r="B2337" s="2" t="s">
        <v>2</v>
      </c>
      <c r="G2337" t="s">
        <v>70</v>
      </c>
      <c r="H2337">
        <v>5</v>
      </c>
    </row>
    <row r="2338" spans="1:8" x14ac:dyDescent="0.3">
      <c r="A2338" t="s">
        <v>50</v>
      </c>
      <c r="B2338" s="2" t="s">
        <v>4</v>
      </c>
      <c r="G2338" t="s">
        <v>70</v>
      </c>
      <c r="H2338">
        <v>4</v>
      </c>
    </row>
    <row r="2339" spans="1:8" x14ac:dyDescent="0.3">
      <c r="A2339" t="s">
        <v>50</v>
      </c>
      <c r="B2339" s="2" t="s">
        <v>2</v>
      </c>
      <c r="G2339" t="s">
        <v>84</v>
      </c>
      <c r="H2339">
        <v>24</v>
      </c>
    </row>
    <row r="2340" spans="1:8" x14ac:dyDescent="0.3">
      <c r="A2340" t="s">
        <v>50</v>
      </c>
      <c r="B2340" s="2" t="s">
        <v>4</v>
      </c>
      <c r="G2340" t="s">
        <v>84</v>
      </c>
      <c r="H2340">
        <v>2</v>
      </c>
    </row>
    <row r="2341" spans="1:8" x14ac:dyDescent="0.3">
      <c r="A2341" t="s">
        <v>50</v>
      </c>
      <c r="B2341" s="2" t="s">
        <v>2</v>
      </c>
      <c r="G2341" t="s">
        <v>85</v>
      </c>
      <c r="H2341">
        <v>1</v>
      </c>
    </row>
    <row r="2342" spans="1:8" x14ac:dyDescent="0.3">
      <c r="A2342" t="s">
        <v>50</v>
      </c>
      <c r="B2342" s="2" t="s">
        <v>2</v>
      </c>
      <c r="G2342" t="s">
        <v>71</v>
      </c>
      <c r="H2342">
        <v>19</v>
      </c>
    </row>
    <row r="2343" spans="1:8" x14ac:dyDescent="0.3">
      <c r="A2343" t="s">
        <v>50</v>
      </c>
      <c r="B2343" s="2" t="s">
        <v>2</v>
      </c>
      <c r="G2343" t="s">
        <v>72</v>
      </c>
      <c r="H2343">
        <v>16</v>
      </c>
    </row>
    <row r="2344" spans="1:8" x14ac:dyDescent="0.3">
      <c r="A2344" t="s">
        <v>50</v>
      </c>
      <c r="B2344" s="2" t="s">
        <v>4</v>
      </c>
      <c r="G2344" t="s">
        <v>72</v>
      </c>
      <c r="H2344">
        <v>1</v>
      </c>
    </row>
    <row r="2345" spans="1:8" x14ac:dyDescent="0.3">
      <c r="A2345" t="s">
        <v>51</v>
      </c>
      <c r="B2345" s="2" t="s">
        <v>2</v>
      </c>
      <c r="C2345" s="4" t="s">
        <v>13</v>
      </c>
      <c r="H2345" s="3">
        <v>3</v>
      </c>
    </row>
    <row r="2346" spans="1:8" x14ac:dyDescent="0.3">
      <c r="A2346" t="s">
        <v>51</v>
      </c>
      <c r="B2346" s="2" t="s">
        <v>2</v>
      </c>
      <c r="C2346" s="4" t="s">
        <v>104</v>
      </c>
      <c r="H2346" s="3">
        <v>2</v>
      </c>
    </row>
    <row r="2347" spans="1:8" x14ac:dyDescent="0.3">
      <c r="A2347" t="s">
        <v>51</v>
      </c>
      <c r="B2347" s="2" t="s">
        <v>2</v>
      </c>
      <c r="C2347" s="4" t="s">
        <v>7</v>
      </c>
      <c r="H2347" s="3">
        <v>79</v>
      </c>
    </row>
    <row r="2348" spans="1:8" x14ac:dyDescent="0.3">
      <c r="A2348" t="s">
        <v>51</v>
      </c>
      <c r="B2348" s="2" t="s">
        <v>4</v>
      </c>
      <c r="C2348" s="4" t="s">
        <v>7</v>
      </c>
      <c r="H2348" s="3">
        <v>37</v>
      </c>
    </row>
    <row r="2349" spans="1:8" x14ac:dyDescent="0.3">
      <c r="A2349" t="s">
        <v>51</v>
      </c>
      <c r="B2349" s="2" t="s">
        <v>2</v>
      </c>
      <c r="C2349" s="4" t="s">
        <v>103</v>
      </c>
      <c r="H2349" s="3">
        <v>5</v>
      </c>
    </row>
    <row r="2350" spans="1:8" x14ac:dyDescent="0.3">
      <c r="A2350" t="s">
        <v>51</v>
      </c>
      <c r="B2350" s="2" t="s">
        <v>4</v>
      </c>
      <c r="C2350" s="4" t="s">
        <v>103</v>
      </c>
      <c r="H2350" s="3">
        <v>3</v>
      </c>
    </row>
    <row r="2351" spans="1:8" x14ac:dyDescent="0.3">
      <c r="A2351" t="s">
        <v>51</v>
      </c>
      <c r="B2351" s="2" t="s">
        <v>2</v>
      </c>
      <c r="C2351" s="4" t="s">
        <v>59</v>
      </c>
      <c r="H2351" s="3">
        <v>2</v>
      </c>
    </row>
    <row r="2352" spans="1:8" x14ac:dyDescent="0.3">
      <c r="A2352" t="s">
        <v>51</v>
      </c>
      <c r="B2352" s="2" t="s">
        <v>4</v>
      </c>
      <c r="D2352" t="s">
        <v>81</v>
      </c>
      <c r="H2352">
        <v>3</v>
      </c>
    </row>
    <row r="2353" spans="1:8" x14ac:dyDescent="0.3">
      <c r="A2353" t="s">
        <v>51</v>
      </c>
      <c r="B2353" s="2" t="s">
        <v>2</v>
      </c>
      <c r="D2353" t="s">
        <v>11</v>
      </c>
      <c r="H2353">
        <v>68</v>
      </c>
    </row>
    <row r="2354" spans="1:8" x14ac:dyDescent="0.3">
      <c r="A2354" t="s">
        <v>51</v>
      </c>
      <c r="B2354" s="2" t="s">
        <v>4</v>
      </c>
      <c r="D2354" t="s">
        <v>11</v>
      </c>
      <c r="H2354">
        <v>24</v>
      </c>
    </row>
    <row r="2355" spans="1:8" x14ac:dyDescent="0.3">
      <c r="A2355" t="s">
        <v>51</v>
      </c>
      <c r="B2355" s="2" t="s">
        <v>2</v>
      </c>
      <c r="D2355" t="s">
        <v>80</v>
      </c>
      <c r="H2355">
        <v>7</v>
      </c>
    </row>
    <row r="2356" spans="1:8" x14ac:dyDescent="0.3">
      <c r="A2356" t="s">
        <v>51</v>
      </c>
      <c r="B2356" s="2" t="s">
        <v>4</v>
      </c>
      <c r="D2356" t="s">
        <v>80</v>
      </c>
      <c r="H2356">
        <v>2</v>
      </c>
    </row>
    <row r="2357" spans="1:8" x14ac:dyDescent="0.3">
      <c r="A2357" t="s">
        <v>51</v>
      </c>
      <c r="B2357" s="2" t="s">
        <v>2</v>
      </c>
      <c r="D2357" t="s">
        <v>76</v>
      </c>
      <c r="H2357">
        <v>1</v>
      </c>
    </row>
    <row r="2358" spans="1:8" x14ac:dyDescent="0.3">
      <c r="A2358" t="s">
        <v>51</v>
      </c>
      <c r="B2358" s="2" t="s">
        <v>2</v>
      </c>
      <c r="D2358" t="s">
        <v>10</v>
      </c>
      <c r="H2358">
        <v>1</v>
      </c>
    </row>
    <row r="2359" spans="1:8" x14ac:dyDescent="0.3">
      <c r="A2359" t="s">
        <v>51</v>
      </c>
      <c r="B2359" s="2" t="s">
        <v>2</v>
      </c>
      <c r="D2359" t="s">
        <v>14</v>
      </c>
      <c r="H2359">
        <v>1</v>
      </c>
    </row>
    <row r="2360" spans="1:8" x14ac:dyDescent="0.3">
      <c r="A2360" t="s">
        <v>51</v>
      </c>
      <c r="B2360" s="2" t="s">
        <v>4</v>
      </c>
      <c r="D2360" t="s">
        <v>14</v>
      </c>
      <c r="H2360">
        <v>8</v>
      </c>
    </row>
    <row r="2361" spans="1:8" x14ac:dyDescent="0.3">
      <c r="A2361" t="s">
        <v>51</v>
      </c>
      <c r="B2361" s="2" t="s">
        <v>2</v>
      </c>
      <c r="D2361" t="s">
        <v>16</v>
      </c>
      <c r="H2361">
        <v>6</v>
      </c>
    </row>
    <row r="2362" spans="1:8" x14ac:dyDescent="0.3">
      <c r="A2362" t="s">
        <v>51</v>
      </c>
      <c r="B2362" s="2" t="s">
        <v>4</v>
      </c>
      <c r="D2362" t="s">
        <v>16</v>
      </c>
      <c r="H2362">
        <v>2</v>
      </c>
    </row>
    <row r="2363" spans="1:8" x14ac:dyDescent="0.3">
      <c r="A2363" t="s">
        <v>51</v>
      </c>
      <c r="B2363" s="2" t="s">
        <v>4</v>
      </c>
      <c r="D2363" t="s">
        <v>78</v>
      </c>
      <c r="H2363">
        <v>1</v>
      </c>
    </row>
    <row r="2364" spans="1:8" x14ac:dyDescent="0.3">
      <c r="A2364" t="s">
        <v>51</v>
      </c>
      <c r="B2364" s="2" t="s">
        <v>2</v>
      </c>
      <c r="D2364" t="s">
        <v>78</v>
      </c>
      <c r="H2364">
        <v>7</v>
      </c>
    </row>
    <row r="2365" spans="1:8" x14ac:dyDescent="0.3">
      <c r="A2365" t="s">
        <v>51</v>
      </c>
      <c r="B2365" s="2" t="s">
        <v>2</v>
      </c>
      <c r="E2365" t="s">
        <v>21</v>
      </c>
      <c r="H2365">
        <v>3</v>
      </c>
    </row>
    <row r="2366" spans="1:8" x14ac:dyDescent="0.3">
      <c r="A2366" t="s">
        <v>51</v>
      </c>
      <c r="B2366" s="2" t="s">
        <v>4</v>
      </c>
      <c r="E2366" t="s">
        <v>21</v>
      </c>
      <c r="H2366">
        <v>4</v>
      </c>
    </row>
    <row r="2367" spans="1:8" x14ac:dyDescent="0.3">
      <c r="A2367" t="s">
        <v>51</v>
      </c>
      <c r="B2367" s="2" t="s">
        <v>2</v>
      </c>
      <c r="E2367" t="s">
        <v>91</v>
      </c>
      <c r="H2367">
        <v>15</v>
      </c>
    </row>
    <row r="2368" spans="1:8" x14ac:dyDescent="0.3">
      <c r="A2368" t="s">
        <v>51</v>
      </c>
      <c r="B2368" s="2" t="s">
        <v>4</v>
      </c>
      <c r="E2368" t="s">
        <v>91</v>
      </c>
      <c r="H2368">
        <v>7</v>
      </c>
    </row>
    <row r="2369" spans="1:8" x14ac:dyDescent="0.3">
      <c r="A2369" t="s">
        <v>51</v>
      </c>
      <c r="B2369" s="2" t="s">
        <v>2</v>
      </c>
      <c r="E2369" t="s">
        <v>90</v>
      </c>
      <c r="H2369">
        <v>28</v>
      </c>
    </row>
    <row r="2370" spans="1:8" x14ac:dyDescent="0.3">
      <c r="A2370" t="s">
        <v>51</v>
      </c>
      <c r="B2370" s="2" t="s">
        <v>4</v>
      </c>
      <c r="E2370" t="s">
        <v>90</v>
      </c>
      <c r="H2370">
        <v>11</v>
      </c>
    </row>
    <row r="2371" spans="1:8" x14ac:dyDescent="0.3">
      <c r="A2371" t="s">
        <v>51</v>
      </c>
      <c r="B2371" s="2" t="s">
        <v>2</v>
      </c>
      <c r="E2371" t="s">
        <v>89</v>
      </c>
      <c r="H2371">
        <v>40</v>
      </c>
    </row>
    <row r="2372" spans="1:8" x14ac:dyDescent="0.3">
      <c r="A2372" t="s">
        <v>51</v>
      </c>
      <c r="B2372" s="2" t="s">
        <v>4</v>
      </c>
      <c r="E2372" t="s">
        <v>89</v>
      </c>
      <c r="H2372">
        <v>15</v>
      </c>
    </row>
    <row r="2373" spans="1:8" x14ac:dyDescent="0.3">
      <c r="A2373" t="s">
        <v>51</v>
      </c>
      <c r="B2373" s="2" t="s">
        <v>2</v>
      </c>
      <c r="E2373" t="s">
        <v>61</v>
      </c>
      <c r="H2373">
        <v>4</v>
      </c>
    </row>
    <row r="2374" spans="1:8" x14ac:dyDescent="0.3">
      <c r="A2374" t="s">
        <v>51</v>
      </c>
      <c r="B2374" s="2" t="s">
        <v>4</v>
      </c>
      <c r="E2374" t="s">
        <v>61</v>
      </c>
      <c r="H2374">
        <v>3</v>
      </c>
    </row>
    <row r="2375" spans="1:8" x14ac:dyDescent="0.3">
      <c r="A2375" t="s">
        <v>51</v>
      </c>
      <c r="B2375" s="2" t="s">
        <v>2</v>
      </c>
      <c r="E2375" t="s">
        <v>62</v>
      </c>
      <c r="H2375">
        <v>1</v>
      </c>
    </row>
    <row r="2376" spans="1:8" x14ac:dyDescent="0.3">
      <c r="A2376" t="s">
        <v>51</v>
      </c>
      <c r="B2376" s="2" t="s">
        <v>2</v>
      </c>
      <c r="F2376" t="s">
        <v>64</v>
      </c>
      <c r="H2376">
        <v>37</v>
      </c>
    </row>
    <row r="2377" spans="1:8" x14ac:dyDescent="0.3">
      <c r="A2377" t="s">
        <v>51</v>
      </c>
      <c r="B2377" s="2" t="s">
        <v>4</v>
      </c>
      <c r="F2377" t="s">
        <v>64</v>
      </c>
      <c r="H2377">
        <v>17</v>
      </c>
    </row>
    <row r="2378" spans="1:8" x14ac:dyDescent="0.3">
      <c r="A2378" t="s">
        <v>51</v>
      </c>
      <c r="B2378" s="2" t="s">
        <v>2</v>
      </c>
      <c r="F2378" t="s">
        <v>18</v>
      </c>
      <c r="H2378">
        <v>53</v>
      </c>
    </row>
    <row r="2379" spans="1:8" x14ac:dyDescent="0.3">
      <c r="A2379" t="s">
        <v>51</v>
      </c>
      <c r="B2379" s="2" t="s">
        <v>4</v>
      </c>
      <c r="F2379" t="s">
        <v>18</v>
      </c>
      <c r="H2379">
        <v>23</v>
      </c>
    </row>
    <row r="2380" spans="1:8" x14ac:dyDescent="0.3">
      <c r="A2380" t="s">
        <v>51</v>
      </c>
      <c r="B2380" s="2" t="s">
        <v>2</v>
      </c>
      <c r="F2380" t="s">
        <v>66</v>
      </c>
      <c r="H2380">
        <v>1</v>
      </c>
    </row>
    <row r="2381" spans="1:8" x14ac:dyDescent="0.3">
      <c r="A2381" t="s">
        <v>51</v>
      </c>
      <c r="B2381" s="2" t="s">
        <v>4</v>
      </c>
      <c r="G2381" t="s">
        <v>68</v>
      </c>
      <c r="H2381">
        <v>21</v>
      </c>
    </row>
    <row r="2382" spans="1:8" x14ac:dyDescent="0.3">
      <c r="A2382" t="s">
        <v>51</v>
      </c>
      <c r="B2382" s="2" t="s">
        <v>2</v>
      </c>
      <c r="G2382" t="s">
        <v>82</v>
      </c>
      <c r="H2382">
        <v>2</v>
      </c>
    </row>
    <row r="2383" spans="1:8" x14ac:dyDescent="0.3">
      <c r="A2383" t="s">
        <v>51</v>
      </c>
      <c r="B2383" s="2" t="s">
        <v>2</v>
      </c>
      <c r="G2383" t="s">
        <v>83</v>
      </c>
      <c r="H2383">
        <v>14</v>
      </c>
    </row>
    <row r="2384" spans="1:8" x14ac:dyDescent="0.3">
      <c r="A2384" t="s">
        <v>51</v>
      </c>
      <c r="B2384" s="2" t="s">
        <v>2</v>
      </c>
      <c r="G2384" t="s">
        <v>69</v>
      </c>
      <c r="H2384">
        <v>10</v>
      </c>
    </row>
    <row r="2385" spans="1:8" x14ac:dyDescent="0.3">
      <c r="A2385" t="s">
        <v>51</v>
      </c>
      <c r="B2385" s="2" t="s">
        <v>4</v>
      </c>
      <c r="G2385" t="s">
        <v>69</v>
      </c>
      <c r="H2385">
        <v>10</v>
      </c>
    </row>
    <row r="2386" spans="1:8" x14ac:dyDescent="0.3">
      <c r="A2386" t="s">
        <v>51</v>
      </c>
      <c r="B2386" s="2" t="s">
        <v>2</v>
      </c>
      <c r="G2386" t="s">
        <v>70</v>
      </c>
      <c r="H2386">
        <v>8</v>
      </c>
    </row>
    <row r="2387" spans="1:8" x14ac:dyDescent="0.3">
      <c r="A2387" t="s">
        <v>51</v>
      </c>
      <c r="B2387" s="2" t="s">
        <v>4</v>
      </c>
      <c r="G2387" t="s">
        <v>70</v>
      </c>
      <c r="H2387">
        <v>6</v>
      </c>
    </row>
    <row r="2388" spans="1:8" x14ac:dyDescent="0.3">
      <c r="A2388" t="s">
        <v>51</v>
      </c>
      <c r="B2388" s="2" t="s">
        <v>2</v>
      </c>
      <c r="G2388" t="s">
        <v>84</v>
      </c>
      <c r="H2388">
        <v>13</v>
      </c>
    </row>
    <row r="2389" spans="1:8" x14ac:dyDescent="0.3">
      <c r="A2389" t="s">
        <v>51</v>
      </c>
      <c r="B2389" s="2" t="s">
        <v>4</v>
      </c>
      <c r="G2389" t="s">
        <v>84</v>
      </c>
      <c r="H2389">
        <v>2</v>
      </c>
    </row>
    <row r="2390" spans="1:8" x14ac:dyDescent="0.3">
      <c r="A2390" t="s">
        <v>51</v>
      </c>
      <c r="B2390" s="2" t="s">
        <v>2</v>
      </c>
      <c r="G2390" t="s">
        <v>71</v>
      </c>
      <c r="H2390">
        <v>38</v>
      </c>
    </row>
    <row r="2391" spans="1:8" x14ac:dyDescent="0.3">
      <c r="A2391" t="s">
        <v>51</v>
      </c>
      <c r="B2391" s="2" t="s">
        <v>4</v>
      </c>
      <c r="G2391" t="s">
        <v>71</v>
      </c>
      <c r="H2391">
        <v>1</v>
      </c>
    </row>
    <row r="2392" spans="1:8" x14ac:dyDescent="0.3">
      <c r="A2392" t="s">
        <v>51</v>
      </c>
      <c r="B2392" s="2" t="s">
        <v>2</v>
      </c>
      <c r="G2392" t="s">
        <v>72</v>
      </c>
      <c r="H2392">
        <v>6</v>
      </c>
    </row>
    <row r="2393" spans="1:8" x14ac:dyDescent="0.3">
      <c r="A2393" t="s">
        <v>97</v>
      </c>
      <c r="B2393" s="2" t="s">
        <v>2</v>
      </c>
      <c r="C2393" s="4" t="s">
        <v>13</v>
      </c>
      <c r="H2393" s="3">
        <v>1</v>
      </c>
    </row>
    <row r="2394" spans="1:8" x14ac:dyDescent="0.3">
      <c r="A2394" t="s">
        <v>97</v>
      </c>
      <c r="B2394" s="2" t="s">
        <v>2</v>
      </c>
      <c r="C2394" s="4" t="s">
        <v>104</v>
      </c>
      <c r="H2394" s="3">
        <v>1</v>
      </c>
    </row>
    <row r="2395" spans="1:8" x14ac:dyDescent="0.3">
      <c r="A2395" t="s">
        <v>97</v>
      </c>
      <c r="B2395" s="2" t="s">
        <v>2</v>
      </c>
      <c r="C2395" s="4" t="s">
        <v>7</v>
      </c>
      <c r="H2395" s="3">
        <v>56</v>
      </c>
    </row>
    <row r="2396" spans="1:8" x14ac:dyDescent="0.3">
      <c r="A2396" t="s">
        <v>97</v>
      </c>
      <c r="B2396" s="2" t="s">
        <v>4</v>
      </c>
      <c r="C2396" s="4" t="s">
        <v>7</v>
      </c>
      <c r="H2396" s="3">
        <v>29</v>
      </c>
    </row>
    <row r="2397" spans="1:8" x14ac:dyDescent="0.3">
      <c r="A2397" t="s">
        <v>97</v>
      </c>
      <c r="B2397" s="2" t="s">
        <v>2</v>
      </c>
      <c r="C2397" s="4" t="s">
        <v>103</v>
      </c>
      <c r="H2397" s="3">
        <v>9</v>
      </c>
    </row>
    <row r="2398" spans="1:8" x14ac:dyDescent="0.3">
      <c r="A2398" t="s">
        <v>97</v>
      </c>
      <c r="B2398" s="2" t="s">
        <v>4</v>
      </c>
      <c r="C2398" s="4" t="s">
        <v>103</v>
      </c>
      <c r="H2398" s="3">
        <v>3</v>
      </c>
    </row>
    <row r="2399" spans="1:8" x14ac:dyDescent="0.3">
      <c r="A2399" t="s">
        <v>97</v>
      </c>
      <c r="B2399" s="2" t="s">
        <v>4</v>
      </c>
      <c r="C2399" s="4" t="s">
        <v>79</v>
      </c>
      <c r="H2399" s="3">
        <v>1</v>
      </c>
    </row>
    <row r="2400" spans="1:8" x14ac:dyDescent="0.3">
      <c r="A2400" t="s">
        <v>97</v>
      </c>
      <c r="B2400" s="2" t="s">
        <v>2</v>
      </c>
      <c r="C2400" s="4" t="s">
        <v>79</v>
      </c>
      <c r="H2400" s="3">
        <v>3</v>
      </c>
    </row>
    <row r="2401" spans="1:8" x14ac:dyDescent="0.3">
      <c r="A2401" t="s">
        <v>97</v>
      </c>
      <c r="B2401" s="2" t="s">
        <v>2</v>
      </c>
      <c r="D2401" t="s">
        <v>81</v>
      </c>
      <c r="H2401">
        <v>2</v>
      </c>
    </row>
    <row r="2402" spans="1:8" x14ac:dyDescent="0.3">
      <c r="A2402" t="s">
        <v>97</v>
      </c>
      <c r="B2402" s="2" t="s">
        <v>2</v>
      </c>
      <c r="D2402" t="s">
        <v>74</v>
      </c>
      <c r="H2402">
        <v>6</v>
      </c>
    </row>
    <row r="2403" spans="1:8" x14ac:dyDescent="0.3">
      <c r="A2403" t="s">
        <v>97</v>
      </c>
      <c r="B2403" s="2" t="s">
        <v>2</v>
      </c>
      <c r="D2403" t="s">
        <v>11</v>
      </c>
      <c r="H2403">
        <v>15</v>
      </c>
    </row>
    <row r="2404" spans="1:8" x14ac:dyDescent="0.3">
      <c r="A2404" t="s">
        <v>97</v>
      </c>
      <c r="B2404" s="2" t="s">
        <v>4</v>
      </c>
      <c r="D2404" t="s">
        <v>11</v>
      </c>
      <c r="H2404">
        <v>5</v>
      </c>
    </row>
    <row r="2405" spans="1:8" x14ac:dyDescent="0.3">
      <c r="A2405" t="s">
        <v>97</v>
      </c>
      <c r="B2405" s="2" t="s">
        <v>4</v>
      </c>
      <c r="D2405" t="s">
        <v>80</v>
      </c>
      <c r="H2405">
        <v>3</v>
      </c>
    </row>
    <row r="2406" spans="1:8" x14ac:dyDescent="0.3">
      <c r="A2406" t="s">
        <v>97</v>
      </c>
      <c r="B2406" s="2" t="s">
        <v>2</v>
      </c>
      <c r="D2406" t="s">
        <v>80</v>
      </c>
      <c r="H2406">
        <v>10</v>
      </c>
    </row>
    <row r="2407" spans="1:8" x14ac:dyDescent="0.3">
      <c r="A2407" t="s">
        <v>97</v>
      </c>
      <c r="B2407" s="2" t="s">
        <v>2</v>
      </c>
      <c r="D2407" t="s">
        <v>8</v>
      </c>
      <c r="H2407">
        <v>3</v>
      </c>
    </row>
    <row r="2408" spans="1:8" x14ac:dyDescent="0.3">
      <c r="A2408" t="s">
        <v>97</v>
      </c>
      <c r="B2408" s="2" t="s">
        <v>2</v>
      </c>
      <c r="D2408" t="s">
        <v>76</v>
      </c>
      <c r="H2408">
        <v>2</v>
      </c>
    </row>
    <row r="2409" spans="1:8" x14ac:dyDescent="0.3">
      <c r="A2409" t="s">
        <v>97</v>
      </c>
      <c r="B2409" s="2" t="s">
        <v>2</v>
      </c>
      <c r="D2409" t="s">
        <v>10</v>
      </c>
      <c r="H2409">
        <v>8</v>
      </c>
    </row>
    <row r="2410" spans="1:8" x14ac:dyDescent="0.3">
      <c r="A2410" t="s">
        <v>97</v>
      </c>
      <c r="B2410" s="2" t="s">
        <v>2</v>
      </c>
      <c r="D2410" t="s">
        <v>14</v>
      </c>
      <c r="H2410">
        <v>16</v>
      </c>
    </row>
    <row r="2411" spans="1:8" x14ac:dyDescent="0.3">
      <c r="A2411" t="s">
        <v>97</v>
      </c>
      <c r="B2411" s="2" t="s">
        <v>4</v>
      </c>
      <c r="D2411" t="s">
        <v>14</v>
      </c>
      <c r="H2411">
        <v>11</v>
      </c>
    </row>
    <row r="2412" spans="1:8" x14ac:dyDescent="0.3">
      <c r="A2412" t="s">
        <v>97</v>
      </c>
      <c r="B2412" s="2" t="s">
        <v>2</v>
      </c>
      <c r="D2412" t="s">
        <v>78</v>
      </c>
      <c r="H2412">
        <v>16</v>
      </c>
    </row>
    <row r="2413" spans="1:8" x14ac:dyDescent="0.3">
      <c r="A2413" t="s">
        <v>97</v>
      </c>
      <c r="B2413" s="2" t="s">
        <v>4</v>
      </c>
      <c r="D2413" t="s">
        <v>78</v>
      </c>
      <c r="H2413">
        <v>6</v>
      </c>
    </row>
    <row r="2414" spans="1:8" x14ac:dyDescent="0.3">
      <c r="A2414" t="s">
        <v>97</v>
      </c>
      <c r="B2414" s="2" t="s">
        <v>2</v>
      </c>
      <c r="E2414" t="s">
        <v>21</v>
      </c>
      <c r="H2414">
        <v>5</v>
      </c>
    </row>
    <row r="2415" spans="1:8" x14ac:dyDescent="0.3">
      <c r="A2415" t="s">
        <v>97</v>
      </c>
      <c r="B2415" s="2" t="s">
        <v>4</v>
      </c>
      <c r="E2415" t="s">
        <v>21</v>
      </c>
      <c r="H2415">
        <v>2</v>
      </c>
    </row>
    <row r="2416" spans="1:8" x14ac:dyDescent="0.3">
      <c r="A2416" t="s">
        <v>97</v>
      </c>
      <c r="B2416" s="2" t="s">
        <v>2</v>
      </c>
      <c r="E2416" t="s">
        <v>91</v>
      </c>
      <c r="H2416">
        <v>38</v>
      </c>
    </row>
    <row r="2417" spans="1:8" x14ac:dyDescent="0.3">
      <c r="A2417" t="s">
        <v>97</v>
      </c>
      <c r="B2417" s="2" t="s">
        <v>4</v>
      </c>
      <c r="E2417" t="s">
        <v>91</v>
      </c>
      <c r="H2417">
        <v>7</v>
      </c>
    </row>
    <row r="2418" spans="1:8" x14ac:dyDescent="0.3">
      <c r="A2418" t="s">
        <v>97</v>
      </c>
      <c r="B2418" s="2" t="s">
        <v>2</v>
      </c>
      <c r="E2418" t="s">
        <v>90</v>
      </c>
      <c r="H2418">
        <v>20</v>
      </c>
    </row>
    <row r="2419" spans="1:8" x14ac:dyDescent="0.3">
      <c r="A2419" t="s">
        <v>97</v>
      </c>
      <c r="B2419" s="2" t="s">
        <v>4</v>
      </c>
      <c r="E2419" t="s">
        <v>90</v>
      </c>
      <c r="H2419">
        <v>6</v>
      </c>
    </row>
    <row r="2420" spans="1:8" x14ac:dyDescent="0.3">
      <c r="A2420" t="s">
        <v>97</v>
      </c>
      <c r="B2420" s="2" t="s">
        <v>2</v>
      </c>
      <c r="E2420" t="s">
        <v>89</v>
      </c>
      <c r="H2420">
        <v>16</v>
      </c>
    </row>
    <row r="2421" spans="1:8" x14ac:dyDescent="0.3">
      <c r="A2421" t="s">
        <v>97</v>
      </c>
      <c r="B2421" s="2" t="s">
        <v>4</v>
      </c>
      <c r="E2421" t="s">
        <v>89</v>
      </c>
      <c r="H2421">
        <v>5</v>
      </c>
    </row>
    <row r="2422" spans="1:8" x14ac:dyDescent="0.3">
      <c r="A2422" t="s">
        <v>97</v>
      </c>
      <c r="B2422" s="2" t="s">
        <v>2</v>
      </c>
      <c r="E2422" t="s">
        <v>60</v>
      </c>
      <c r="H2422">
        <v>3</v>
      </c>
    </row>
    <row r="2423" spans="1:8" x14ac:dyDescent="0.3">
      <c r="A2423" t="s">
        <v>97</v>
      </c>
      <c r="B2423" s="2" t="s">
        <v>4</v>
      </c>
      <c r="E2423" t="s">
        <v>61</v>
      </c>
      <c r="H2423">
        <v>1</v>
      </c>
    </row>
    <row r="2424" spans="1:8" x14ac:dyDescent="0.3">
      <c r="A2424" t="s">
        <v>97</v>
      </c>
      <c r="B2424" s="2" t="s">
        <v>2</v>
      </c>
      <c r="F2424" t="s">
        <v>64</v>
      </c>
      <c r="H2424">
        <v>29</v>
      </c>
    </row>
    <row r="2425" spans="1:8" x14ac:dyDescent="0.3">
      <c r="A2425" t="s">
        <v>97</v>
      </c>
      <c r="B2425" s="2" t="s">
        <v>4</v>
      </c>
      <c r="F2425" t="s">
        <v>64</v>
      </c>
      <c r="H2425">
        <v>16</v>
      </c>
    </row>
    <row r="2426" spans="1:8" x14ac:dyDescent="0.3">
      <c r="A2426" t="s">
        <v>97</v>
      </c>
      <c r="B2426" s="2" t="s">
        <v>2</v>
      </c>
      <c r="F2426" t="s">
        <v>18</v>
      </c>
      <c r="H2426">
        <v>43</v>
      </c>
    </row>
    <row r="2427" spans="1:8" x14ac:dyDescent="0.3">
      <c r="A2427" t="s">
        <v>97</v>
      </c>
      <c r="B2427" s="2" t="s">
        <v>4</v>
      </c>
      <c r="F2427" t="s">
        <v>18</v>
      </c>
      <c r="H2427">
        <v>13</v>
      </c>
    </row>
    <row r="2428" spans="1:8" x14ac:dyDescent="0.3">
      <c r="A2428" t="s">
        <v>97</v>
      </c>
      <c r="B2428" s="2" t="s">
        <v>4</v>
      </c>
      <c r="F2428" t="s">
        <v>19</v>
      </c>
      <c r="H2428">
        <v>1</v>
      </c>
    </row>
    <row r="2429" spans="1:8" x14ac:dyDescent="0.3">
      <c r="A2429" t="s">
        <v>97</v>
      </c>
      <c r="B2429" s="2" t="s">
        <v>2</v>
      </c>
      <c r="F2429" t="s">
        <v>65</v>
      </c>
      <c r="H2429">
        <v>1</v>
      </c>
    </row>
    <row r="2430" spans="1:8" x14ac:dyDescent="0.3">
      <c r="A2430" t="s">
        <v>97</v>
      </c>
      <c r="B2430" s="2" t="s">
        <v>4</v>
      </c>
      <c r="G2430" t="s">
        <v>68</v>
      </c>
      <c r="H2430">
        <v>12</v>
      </c>
    </row>
    <row r="2431" spans="1:8" x14ac:dyDescent="0.3">
      <c r="A2431" t="s">
        <v>97</v>
      </c>
      <c r="B2431" s="2" t="s">
        <v>2</v>
      </c>
      <c r="G2431" t="s">
        <v>82</v>
      </c>
      <c r="H2431">
        <v>1</v>
      </c>
    </row>
    <row r="2432" spans="1:8" x14ac:dyDescent="0.3">
      <c r="A2432" t="s">
        <v>97</v>
      </c>
      <c r="B2432" s="2" t="s">
        <v>2</v>
      </c>
      <c r="G2432" t="s">
        <v>83</v>
      </c>
      <c r="H2432">
        <v>6</v>
      </c>
    </row>
    <row r="2433" spans="1:8" x14ac:dyDescent="0.3">
      <c r="A2433" t="s">
        <v>97</v>
      </c>
      <c r="B2433" s="2" t="s">
        <v>4</v>
      </c>
      <c r="G2433" t="s">
        <v>83</v>
      </c>
      <c r="H2433">
        <v>1</v>
      </c>
    </row>
    <row r="2434" spans="1:8" x14ac:dyDescent="0.3">
      <c r="A2434" t="s">
        <v>97</v>
      </c>
      <c r="B2434" s="2" t="s">
        <v>2</v>
      </c>
      <c r="G2434" t="s">
        <v>69</v>
      </c>
      <c r="H2434">
        <v>9</v>
      </c>
    </row>
    <row r="2435" spans="1:8" x14ac:dyDescent="0.3">
      <c r="A2435" t="s">
        <v>97</v>
      </c>
      <c r="B2435" s="2" t="s">
        <v>4</v>
      </c>
      <c r="G2435" t="s">
        <v>69</v>
      </c>
      <c r="H2435">
        <v>7</v>
      </c>
    </row>
    <row r="2436" spans="1:8" x14ac:dyDescent="0.3">
      <c r="A2436" t="s">
        <v>97</v>
      </c>
      <c r="B2436" s="2" t="s">
        <v>2</v>
      </c>
      <c r="G2436" t="s">
        <v>70</v>
      </c>
      <c r="H2436">
        <v>12</v>
      </c>
    </row>
    <row r="2437" spans="1:8" x14ac:dyDescent="0.3">
      <c r="A2437" t="s">
        <v>97</v>
      </c>
      <c r="B2437" s="2" t="s">
        <v>4</v>
      </c>
      <c r="G2437" t="s">
        <v>70</v>
      </c>
      <c r="H2437">
        <v>2</v>
      </c>
    </row>
    <row r="2438" spans="1:8" x14ac:dyDescent="0.3">
      <c r="A2438" t="s">
        <v>97</v>
      </c>
      <c r="B2438" s="2" t="s">
        <v>2</v>
      </c>
      <c r="G2438" t="s">
        <v>84</v>
      </c>
      <c r="H2438">
        <v>34</v>
      </c>
    </row>
    <row r="2439" spans="1:8" x14ac:dyDescent="0.3">
      <c r="A2439" t="s">
        <v>97</v>
      </c>
      <c r="B2439" s="2" t="s">
        <v>4</v>
      </c>
      <c r="G2439" t="s">
        <v>84</v>
      </c>
      <c r="H2439">
        <v>1</v>
      </c>
    </row>
    <row r="2440" spans="1:8" x14ac:dyDescent="0.3">
      <c r="A2440" t="s">
        <v>97</v>
      </c>
      <c r="B2440" s="2" t="s">
        <v>2</v>
      </c>
      <c r="G2440" t="s">
        <v>85</v>
      </c>
      <c r="H2440">
        <v>8</v>
      </c>
    </row>
    <row r="2441" spans="1:8" x14ac:dyDescent="0.3">
      <c r="A2441" t="s">
        <v>97</v>
      </c>
      <c r="B2441" s="2" t="s">
        <v>4</v>
      </c>
      <c r="G2441" t="s">
        <v>85</v>
      </c>
      <c r="H2441">
        <v>3</v>
      </c>
    </row>
    <row r="2442" spans="1:8" x14ac:dyDescent="0.3">
      <c r="A2442" t="s">
        <v>97</v>
      </c>
      <c r="B2442" s="2" t="s">
        <v>2</v>
      </c>
      <c r="G2442" t="s">
        <v>71</v>
      </c>
      <c r="H2442">
        <v>4</v>
      </c>
    </row>
    <row r="2443" spans="1:8" x14ac:dyDescent="0.3">
      <c r="A2443" t="s">
        <v>97</v>
      </c>
      <c r="B2443" s="2" t="s">
        <v>4</v>
      </c>
      <c r="G2443" t="s">
        <v>71</v>
      </c>
      <c r="H2443">
        <v>1</v>
      </c>
    </row>
    <row r="2444" spans="1:8" x14ac:dyDescent="0.3">
      <c r="A2444" t="s">
        <v>97</v>
      </c>
      <c r="B2444" s="2" t="s">
        <v>2</v>
      </c>
      <c r="G2444" t="s">
        <v>72</v>
      </c>
      <c r="H2444">
        <v>1</v>
      </c>
    </row>
    <row r="2445" spans="1:8" x14ac:dyDescent="0.3">
      <c r="A2445" t="s">
        <v>97</v>
      </c>
      <c r="B2445" s="2" t="s">
        <v>4</v>
      </c>
      <c r="G2445" t="s">
        <v>72</v>
      </c>
      <c r="H2445">
        <v>1</v>
      </c>
    </row>
    <row r="2446" spans="1:8" x14ac:dyDescent="0.3">
      <c r="A2446" t="s">
        <v>95</v>
      </c>
      <c r="B2446" s="2" t="s">
        <v>2</v>
      </c>
      <c r="C2446" s="4" t="s">
        <v>13</v>
      </c>
      <c r="H2446" s="3">
        <v>42</v>
      </c>
    </row>
    <row r="2447" spans="1:8" x14ac:dyDescent="0.3">
      <c r="A2447" t="s">
        <v>95</v>
      </c>
      <c r="B2447" s="2" t="s">
        <v>4</v>
      </c>
      <c r="C2447" s="4" t="s">
        <v>13</v>
      </c>
      <c r="H2447" s="3">
        <v>1</v>
      </c>
    </row>
    <row r="2448" spans="1:8" x14ac:dyDescent="0.3">
      <c r="A2448" t="s">
        <v>95</v>
      </c>
      <c r="B2448" s="2" t="s">
        <v>2</v>
      </c>
      <c r="C2448" s="4" t="s">
        <v>104</v>
      </c>
      <c r="H2448" s="3">
        <f>32+33</f>
        <v>65</v>
      </c>
    </row>
    <row r="2449" spans="1:8" x14ac:dyDescent="0.3">
      <c r="A2449" t="s">
        <v>95</v>
      </c>
      <c r="B2449" s="2" t="s">
        <v>4</v>
      </c>
      <c r="C2449" s="4" t="s">
        <v>104</v>
      </c>
      <c r="H2449" s="3">
        <v>10</v>
      </c>
    </row>
    <row r="2450" spans="1:8" x14ac:dyDescent="0.3">
      <c r="A2450" t="s">
        <v>95</v>
      </c>
      <c r="B2450" s="2" t="s">
        <v>2</v>
      </c>
      <c r="C2450" s="4" t="s">
        <v>7</v>
      </c>
      <c r="H2450" s="3">
        <v>1891</v>
      </c>
    </row>
    <row r="2451" spans="1:8" x14ac:dyDescent="0.3">
      <c r="A2451" t="s">
        <v>95</v>
      </c>
      <c r="B2451" s="2" t="s">
        <v>4</v>
      </c>
      <c r="C2451" s="4" t="s">
        <v>7</v>
      </c>
      <c r="H2451" s="3">
        <v>654</v>
      </c>
    </row>
    <row r="2452" spans="1:8" x14ac:dyDescent="0.3">
      <c r="A2452" t="s">
        <v>95</v>
      </c>
      <c r="B2452" s="2" t="s">
        <v>2</v>
      </c>
      <c r="C2452" s="4" t="s">
        <v>103</v>
      </c>
      <c r="H2452" s="3">
        <f>118+54</f>
        <v>172</v>
      </c>
    </row>
    <row r="2453" spans="1:8" x14ac:dyDescent="0.3">
      <c r="A2453" t="s">
        <v>95</v>
      </c>
      <c r="B2453" s="2" t="s">
        <v>4</v>
      </c>
      <c r="C2453" s="4" t="s">
        <v>103</v>
      </c>
      <c r="H2453" s="3">
        <v>94</v>
      </c>
    </row>
    <row r="2454" spans="1:8" x14ac:dyDescent="0.3">
      <c r="A2454" t="s">
        <v>95</v>
      </c>
      <c r="B2454" s="2" t="s">
        <v>2</v>
      </c>
      <c r="C2454" s="4" t="s">
        <v>79</v>
      </c>
      <c r="H2454" s="3">
        <v>50</v>
      </c>
    </row>
    <row r="2455" spans="1:8" x14ac:dyDescent="0.3">
      <c r="A2455" t="s">
        <v>95</v>
      </c>
      <c r="B2455" s="2" t="s">
        <v>4</v>
      </c>
      <c r="C2455" s="4" t="s">
        <v>79</v>
      </c>
      <c r="H2455" s="3">
        <v>12</v>
      </c>
    </row>
    <row r="2456" spans="1:8" x14ac:dyDescent="0.3">
      <c r="A2456" t="s">
        <v>95</v>
      </c>
      <c r="B2456" s="2" t="s">
        <v>2</v>
      </c>
      <c r="C2456" s="4" t="s">
        <v>105</v>
      </c>
      <c r="H2456" s="3">
        <v>15</v>
      </c>
    </row>
    <row r="2457" spans="1:8" x14ac:dyDescent="0.3">
      <c r="A2457" t="s">
        <v>95</v>
      </c>
      <c r="B2457" s="2" t="s">
        <v>4</v>
      </c>
      <c r="C2457" s="4" t="s">
        <v>105</v>
      </c>
      <c r="H2457" s="3">
        <v>5</v>
      </c>
    </row>
    <row r="2458" spans="1:8" x14ac:dyDescent="0.3">
      <c r="A2458" t="s">
        <v>95</v>
      </c>
      <c r="B2458" s="2" t="s">
        <v>2</v>
      </c>
      <c r="C2458" s="4" t="s">
        <v>58</v>
      </c>
      <c r="H2458" s="3">
        <v>5</v>
      </c>
    </row>
    <row r="2459" spans="1:8" x14ac:dyDescent="0.3">
      <c r="A2459" t="s">
        <v>95</v>
      </c>
      <c r="B2459" s="2" t="s">
        <v>2</v>
      </c>
      <c r="C2459" s="4" t="s">
        <v>59</v>
      </c>
      <c r="H2459" s="3">
        <v>318</v>
      </c>
    </row>
    <row r="2460" spans="1:8" x14ac:dyDescent="0.3">
      <c r="A2460" t="s">
        <v>95</v>
      </c>
      <c r="B2460" s="2" t="s">
        <v>4</v>
      </c>
      <c r="C2460" s="4" t="s">
        <v>59</v>
      </c>
      <c r="H2460" s="3">
        <v>83</v>
      </c>
    </row>
    <row r="2461" spans="1:8" x14ac:dyDescent="0.3">
      <c r="A2461" t="s">
        <v>95</v>
      </c>
      <c r="B2461" s="2" t="s">
        <v>2</v>
      </c>
      <c r="D2461" t="s">
        <v>81</v>
      </c>
      <c r="H2461">
        <v>76</v>
      </c>
    </row>
    <row r="2462" spans="1:8" x14ac:dyDescent="0.3">
      <c r="A2462" t="s">
        <v>95</v>
      </c>
      <c r="B2462" s="2" t="s">
        <v>4</v>
      </c>
      <c r="D2462" t="s">
        <v>81</v>
      </c>
      <c r="H2462">
        <v>43</v>
      </c>
    </row>
    <row r="2463" spans="1:8" x14ac:dyDescent="0.3">
      <c r="A2463" t="s">
        <v>95</v>
      </c>
      <c r="B2463" s="2" t="s">
        <v>4</v>
      </c>
      <c r="D2463" t="s">
        <v>73</v>
      </c>
      <c r="H2463">
        <v>82</v>
      </c>
    </row>
    <row r="2464" spans="1:8" x14ac:dyDescent="0.3">
      <c r="A2464" t="s">
        <v>95</v>
      </c>
      <c r="B2464" s="2" t="s">
        <v>2</v>
      </c>
      <c r="D2464" t="s">
        <v>74</v>
      </c>
      <c r="H2464">
        <v>30</v>
      </c>
    </row>
    <row r="2465" spans="1:8" x14ac:dyDescent="0.3">
      <c r="A2465" t="s">
        <v>95</v>
      </c>
      <c r="B2465" s="2" t="s">
        <v>4</v>
      </c>
      <c r="D2465" t="s">
        <v>74</v>
      </c>
      <c r="H2465">
        <v>16</v>
      </c>
    </row>
    <row r="2466" spans="1:8" x14ac:dyDescent="0.3">
      <c r="A2466" t="s">
        <v>95</v>
      </c>
      <c r="B2466" s="2" t="s">
        <v>2</v>
      </c>
      <c r="D2466" t="s">
        <v>3</v>
      </c>
      <c r="H2466">
        <v>8</v>
      </c>
    </row>
    <row r="2467" spans="1:8" x14ac:dyDescent="0.3">
      <c r="A2467" t="s">
        <v>95</v>
      </c>
      <c r="B2467" s="2" t="s">
        <v>4</v>
      </c>
      <c r="D2467" t="s">
        <v>3</v>
      </c>
      <c r="H2467">
        <v>4</v>
      </c>
    </row>
    <row r="2468" spans="1:8" x14ac:dyDescent="0.3">
      <c r="A2468" t="s">
        <v>95</v>
      </c>
      <c r="B2468" s="2" t="s">
        <v>2</v>
      </c>
      <c r="D2468" t="s">
        <v>9</v>
      </c>
      <c r="H2468">
        <v>40</v>
      </c>
    </row>
    <row r="2469" spans="1:8" x14ac:dyDescent="0.3">
      <c r="A2469" t="s">
        <v>95</v>
      </c>
      <c r="B2469" s="2" t="s">
        <v>4</v>
      </c>
      <c r="D2469" t="s">
        <v>9</v>
      </c>
      <c r="H2469">
        <v>41</v>
      </c>
    </row>
    <row r="2470" spans="1:8" x14ac:dyDescent="0.3">
      <c r="A2470" t="s">
        <v>95</v>
      </c>
      <c r="B2470" s="2" t="s">
        <v>2</v>
      </c>
      <c r="D2470" t="s">
        <v>75</v>
      </c>
      <c r="H2470">
        <v>6</v>
      </c>
    </row>
    <row r="2471" spans="1:8" x14ac:dyDescent="0.3">
      <c r="A2471" t="s">
        <v>95</v>
      </c>
      <c r="B2471" s="2" t="s">
        <v>4</v>
      </c>
      <c r="D2471" t="s">
        <v>75</v>
      </c>
      <c r="H2471">
        <v>1</v>
      </c>
    </row>
    <row r="2472" spans="1:8" x14ac:dyDescent="0.3">
      <c r="A2472" t="s">
        <v>95</v>
      </c>
      <c r="B2472" s="2" t="s">
        <v>2</v>
      </c>
      <c r="D2472" t="s">
        <v>11</v>
      </c>
      <c r="H2472">
        <v>621</v>
      </c>
    </row>
    <row r="2473" spans="1:8" x14ac:dyDescent="0.3">
      <c r="A2473" t="s">
        <v>95</v>
      </c>
      <c r="B2473" s="2" t="s">
        <v>4</v>
      </c>
      <c r="D2473" t="s">
        <v>11</v>
      </c>
      <c r="H2473">
        <v>210</v>
      </c>
    </row>
    <row r="2474" spans="1:8" x14ac:dyDescent="0.3">
      <c r="A2474" t="s">
        <v>95</v>
      </c>
      <c r="B2474" s="2" t="s">
        <v>2</v>
      </c>
      <c r="D2474" t="s">
        <v>80</v>
      </c>
      <c r="H2474">
        <v>151</v>
      </c>
    </row>
    <row r="2475" spans="1:8" x14ac:dyDescent="0.3">
      <c r="A2475" t="s">
        <v>95</v>
      </c>
      <c r="B2475" s="2" t="s">
        <v>4</v>
      </c>
      <c r="D2475" t="s">
        <v>80</v>
      </c>
      <c r="H2475">
        <v>41</v>
      </c>
    </row>
    <row r="2476" spans="1:8" x14ac:dyDescent="0.3">
      <c r="A2476" t="s">
        <v>95</v>
      </c>
      <c r="B2476" s="2" t="s">
        <v>2</v>
      </c>
      <c r="D2476" t="s">
        <v>8</v>
      </c>
      <c r="H2476">
        <v>4</v>
      </c>
    </row>
    <row r="2477" spans="1:8" x14ac:dyDescent="0.3">
      <c r="A2477" t="s">
        <v>95</v>
      </c>
      <c r="B2477" s="2" t="s">
        <v>4</v>
      </c>
      <c r="D2477" t="s">
        <v>8</v>
      </c>
      <c r="H2477">
        <v>1</v>
      </c>
    </row>
    <row r="2478" spans="1:8" x14ac:dyDescent="0.3">
      <c r="A2478" t="s">
        <v>95</v>
      </c>
      <c r="B2478" s="2" t="s">
        <v>2</v>
      </c>
      <c r="D2478" t="s">
        <v>76</v>
      </c>
      <c r="H2478">
        <v>89</v>
      </c>
    </row>
    <row r="2479" spans="1:8" x14ac:dyDescent="0.3">
      <c r="A2479" t="s">
        <v>95</v>
      </c>
      <c r="B2479" s="2" t="s">
        <v>4</v>
      </c>
      <c r="D2479" t="s">
        <v>76</v>
      </c>
      <c r="H2479">
        <v>3</v>
      </c>
    </row>
    <row r="2480" spans="1:8" x14ac:dyDescent="0.3">
      <c r="A2480" t="s">
        <v>95</v>
      </c>
      <c r="B2480" s="2" t="s">
        <v>2</v>
      </c>
      <c r="D2480" t="s">
        <v>10</v>
      </c>
      <c r="H2480">
        <v>2</v>
      </c>
    </row>
    <row r="2481" spans="1:8" x14ac:dyDescent="0.3">
      <c r="A2481" t="s">
        <v>95</v>
      </c>
      <c r="B2481" s="2" t="s">
        <v>4</v>
      </c>
      <c r="D2481" t="s">
        <v>10</v>
      </c>
      <c r="H2481">
        <v>3</v>
      </c>
    </row>
    <row r="2482" spans="1:8" x14ac:dyDescent="0.3">
      <c r="A2482" t="s">
        <v>95</v>
      </c>
      <c r="B2482" s="2" t="s">
        <v>2</v>
      </c>
      <c r="D2482" t="s">
        <v>14</v>
      </c>
      <c r="H2482">
        <v>57</v>
      </c>
    </row>
    <row r="2483" spans="1:8" x14ac:dyDescent="0.3">
      <c r="A2483" t="s">
        <v>95</v>
      </c>
      <c r="B2483" s="2" t="s">
        <v>4</v>
      </c>
      <c r="D2483" t="s">
        <v>14</v>
      </c>
      <c r="H2483">
        <v>55</v>
      </c>
    </row>
    <row r="2484" spans="1:8" x14ac:dyDescent="0.3">
      <c r="A2484" t="s">
        <v>95</v>
      </c>
      <c r="B2484" s="2" t="s">
        <v>2</v>
      </c>
      <c r="D2484" t="s">
        <v>15</v>
      </c>
      <c r="H2484">
        <v>20</v>
      </c>
    </row>
    <row r="2485" spans="1:8" x14ac:dyDescent="0.3">
      <c r="A2485" t="s">
        <v>95</v>
      </c>
      <c r="B2485" s="2" t="s">
        <v>4</v>
      </c>
      <c r="D2485" t="s">
        <v>15</v>
      </c>
      <c r="H2485">
        <v>5</v>
      </c>
    </row>
    <row r="2486" spans="1:8" x14ac:dyDescent="0.3">
      <c r="A2486" t="s">
        <v>95</v>
      </c>
      <c r="B2486" s="2" t="s">
        <v>2</v>
      </c>
      <c r="D2486" t="s">
        <v>17</v>
      </c>
      <c r="H2486">
        <v>233</v>
      </c>
    </row>
    <row r="2487" spans="1:8" x14ac:dyDescent="0.3">
      <c r="A2487" t="s">
        <v>95</v>
      </c>
      <c r="B2487" s="2" t="s">
        <v>4</v>
      </c>
      <c r="D2487" t="s">
        <v>17</v>
      </c>
      <c r="H2487">
        <v>29</v>
      </c>
    </row>
    <row r="2488" spans="1:8" x14ac:dyDescent="0.3">
      <c r="A2488" t="s">
        <v>95</v>
      </c>
      <c r="B2488" s="2" t="s">
        <v>2</v>
      </c>
      <c r="D2488" t="s">
        <v>6</v>
      </c>
      <c r="H2488">
        <v>28</v>
      </c>
    </row>
    <row r="2489" spans="1:8" x14ac:dyDescent="0.3">
      <c r="A2489" t="s">
        <v>95</v>
      </c>
      <c r="B2489" s="2" t="s">
        <v>4</v>
      </c>
      <c r="D2489" t="s">
        <v>6</v>
      </c>
      <c r="H2489">
        <v>1</v>
      </c>
    </row>
    <row r="2490" spans="1:8" x14ac:dyDescent="0.3">
      <c r="A2490" t="s">
        <v>95</v>
      </c>
      <c r="B2490" s="2" t="s">
        <v>2</v>
      </c>
      <c r="D2490" t="s">
        <v>16</v>
      </c>
      <c r="H2490">
        <v>86</v>
      </c>
    </row>
    <row r="2491" spans="1:8" x14ac:dyDescent="0.3">
      <c r="A2491" t="s">
        <v>95</v>
      </c>
      <c r="B2491" s="2" t="s">
        <v>4</v>
      </c>
      <c r="D2491" t="s">
        <v>16</v>
      </c>
      <c r="H2491">
        <v>19</v>
      </c>
    </row>
    <row r="2492" spans="1:8" x14ac:dyDescent="0.3">
      <c r="A2492" t="s">
        <v>95</v>
      </c>
      <c r="B2492" s="2" t="s">
        <v>2</v>
      </c>
      <c r="D2492" t="s">
        <v>78</v>
      </c>
      <c r="H2492">
        <f>670+437</f>
        <v>1107</v>
      </c>
    </row>
    <row r="2493" spans="1:8" x14ac:dyDescent="0.3">
      <c r="A2493" t="s">
        <v>95</v>
      </c>
      <c r="B2493" s="2" t="s">
        <v>4</v>
      </c>
      <c r="D2493" t="s">
        <v>78</v>
      </c>
      <c r="H2493">
        <f>140+165</f>
        <v>305</v>
      </c>
    </row>
    <row r="2494" spans="1:8" x14ac:dyDescent="0.3">
      <c r="A2494" t="s">
        <v>95</v>
      </c>
      <c r="B2494" s="2" t="s">
        <v>2</v>
      </c>
      <c r="E2494" t="s">
        <v>21</v>
      </c>
      <c r="H2494">
        <v>174</v>
      </c>
    </row>
    <row r="2495" spans="1:8" x14ac:dyDescent="0.3">
      <c r="A2495" t="s">
        <v>95</v>
      </c>
      <c r="B2495" s="2" t="s">
        <v>4</v>
      </c>
      <c r="E2495" t="s">
        <v>21</v>
      </c>
      <c r="H2495">
        <v>80</v>
      </c>
    </row>
    <row r="2496" spans="1:8" x14ac:dyDescent="0.3">
      <c r="A2496" t="s">
        <v>95</v>
      </c>
      <c r="B2496" s="2" t="s">
        <v>2</v>
      </c>
      <c r="E2496" t="s">
        <v>91</v>
      </c>
      <c r="H2496">
        <f>286+191</f>
        <v>477</v>
      </c>
    </row>
    <row r="2497" spans="1:8" x14ac:dyDescent="0.3">
      <c r="A2497" t="s">
        <v>95</v>
      </c>
      <c r="B2497" s="2" t="s">
        <v>4</v>
      </c>
      <c r="E2497" t="s">
        <v>91</v>
      </c>
      <c r="H2497">
        <f>98+68</f>
        <v>166</v>
      </c>
    </row>
    <row r="2498" spans="1:8" x14ac:dyDescent="0.3">
      <c r="A2498" t="s">
        <v>95</v>
      </c>
      <c r="B2498" s="2" t="s">
        <v>2</v>
      </c>
      <c r="E2498" t="s">
        <v>90</v>
      </c>
      <c r="H2498">
        <v>540</v>
      </c>
    </row>
    <row r="2499" spans="1:8" x14ac:dyDescent="0.3">
      <c r="A2499" t="s">
        <v>95</v>
      </c>
      <c r="B2499" s="2" t="s">
        <v>4</v>
      </c>
      <c r="E2499" t="s">
        <v>90</v>
      </c>
      <c r="H2499">
        <v>213</v>
      </c>
    </row>
    <row r="2500" spans="1:8" x14ac:dyDescent="0.3">
      <c r="A2500" t="s">
        <v>95</v>
      </c>
      <c r="B2500" s="2" t="s">
        <v>2</v>
      </c>
      <c r="E2500" t="s">
        <v>89</v>
      </c>
      <c r="H2500">
        <v>577</v>
      </c>
    </row>
    <row r="2501" spans="1:8" x14ac:dyDescent="0.3">
      <c r="A2501" t="s">
        <v>95</v>
      </c>
      <c r="B2501" s="2" t="s">
        <v>4</v>
      </c>
      <c r="E2501" t="s">
        <v>89</v>
      </c>
      <c r="H2501">
        <v>154</v>
      </c>
    </row>
    <row r="2502" spans="1:8" x14ac:dyDescent="0.3">
      <c r="A2502" t="s">
        <v>95</v>
      </c>
      <c r="B2502" s="2" t="s">
        <v>2</v>
      </c>
      <c r="E2502" t="s">
        <v>60</v>
      </c>
      <c r="H2502">
        <v>116</v>
      </c>
    </row>
    <row r="2503" spans="1:8" x14ac:dyDescent="0.3">
      <c r="A2503" t="s">
        <v>95</v>
      </c>
      <c r="B2503" s="2" t="s">
        <v>4</v>
      </c>
      <c r="E2503" t="s">
        <v>60</v>
      </c>
      <c r="H2503">
        <v>39</v>
      </c>
    </row>
    <row r="2504" spans="1:8" x14ac:dyDescent="0.3">
      <c r="A2504" t="s">
        <v>95</v>
      </c>
      <c r="B2504" s="2" t="s">
        <v>2</v>
      </c>
      <c r="E2504" t="s">
        <v>61</v>
      </c>
      <c r="H2504">
        <v>399</v>
      </c>
    </row>
    <row r="2505" spans="1:8" x14ac:dyDescent="0.3">
      <c r="A2505" t="s">
        <v>95</v>
      </c>
      <c r="B2505" s="2" t="s">
        <v>4</v>
      </c>
      <c r="E2505" t="s">
        <v>61</v>
      </c>
      <c r="H2505">
        <v>113</v>
      </c>
    </row>
    <row r="2506" spans="1:8" x14ac:dyDescent="0.3">
      <c r="A2506" t="s">
        <v>95</v>
      </c>
      <c r="B2506" s="2" t="s">
        <v>2</v>
      </c>
      <c r="E2506" t="s">
        <v>92</v>
      </c>
      <c r="H2506">
        <v>6</v>
      </c>
    </row>
    <row r="2507" spans="1:8" x14ac:dyDescent="0.3">
      <c r="A2507" t="s">
        <v>95</v>
      </c>
      <c r="B2507" s="2" t="s">
        <v>4</v>
      </c>
      <c r="E2507" t="s">
        <v>92</v>
      </c>
      <c r="H2507">
        <v>1</v>
      </c>
    </row>
    <row r="2508" spans="1:8" x14ac:dyDescent="0.3">
      <c r="A2508" t="s">
        <v>95</v>
      </c>
      <c r="B2508" s="2" t="s">
        <v>2</v>
      </c>
      <c r="E2508" t="s">
        <v>62</v>
      </c>
      <c r="H2508">
        <v>269</v>
      </c>
    </row>
    <row r="2509" spans="1:8" x14ac:dyDescent="0.3">
      <c r="A2509" t="s">
        <v>95</v>
      </c>
      <c r="B2509" s="2" t="s">
        <v>4</v>
      </c>
      <c r="E2509" t="s">
        <v>62</v>
      </c>
      <c r="H2509">
        <v>93</v>
      </c>
    </row>
    <row r="2510" spans="1:8" x14ac:dyDescent="0.3">
      <c r="A2510" t="s">
        <v>95</v>
      </c>
      <c r="B2510" s="2" t="s">
        <v>2</v>
      </c>
      <c r="F2510" t="s">
        <v>64</v>
      </c>
      <c r="H2510">
        <v>720</v>
      </c>
    </row>
    <row r="2511" spans="1:8" x14ac:dyDescent="0.3">
      <c r="A2511" t="s">
        <v>95</v>
      </c>
      <c r="B2511" s="2" t="s">
        <v>4</v>
      </c>
      <c r="F2511" t="s">
        <v>64</v>
      </c>
      <c r="H2511">
        <v>259</v>
      </c>
    </row>
    <row r="2512" spans="1:8" x14ac:dyDescent="0.3">
      <c r="A2512" t="s">
        <v>95</v>
      </c>
      <c r="B2512" s="2" t="s">
        <v>2</v>
      </c>
      <c r="F2512" t="s">
        <v>18</v>
      </c>
      <c r="H2512">
        <v>1539</v>
      </c>
    </row>
    <row r="2513" spans="1:8" x14ac:dyDescent="0.3">
      <c r="A2513" t="s">
        <v>95</v>
      </c>
      <c r="B2513" s="2" t="s">
        <v>4</v>
      </c>
      <c r="F2513" t="s">
        <v>18</v>
      </c>
      <c r="H2513">
        <v>521</v>
      </c>
    </row>
    <row r="2514" spans="1:8" x14ac:dyDescent="0.3">
      <c r="A2514" t="s">
        <v>95</v>
      </c>
      <c r="B2514" s="2" t="s">
        <v>2</v>
      </c>
      <c r="F2514" t="s">
        <v>19</v>
      </c>
      <c r="H2514">
        <v>24</v>
      </c>
    </row>
    <row r="2515" spans="1:8" x14ac:dyDescent="0.3">
      <c r="A2515" t="s">
        <v>95</v>
      </c>
      <c r="B2515" s="2" t="s">
        <v>4</v>
      </c>
      <c r="F2515" t="s">
        <v>19</v>
      </c>
      <c r="H2515">
        <v>11</v>
      </c>
    </row>
    <row r="2516" spans="1:8" x14ac:dyDescent="0.3">
      <c r="A2516" t="s">
        <v>95</v>
      </c>
      <c r="B2516" s="2" t="s">
        <v>2</v>
      </c>
      <c r="F2516" t="s">
        <v>20</v>
      </c>
      <c r="H2516">
        <v>12</v>
      </c>
    </row>
    <row r="2517" spans="1:8" x14ac:dyDescent="0.3">
      <c r="A2517" t="s">
        <v>95</v>
      </c>
      <c r="B2517" s="2" t="s">
        <v>4</v>
      </c>
      <c r="F2517" t="s">
        <v>20</v>
      </c>
      <c r="H2517">
        <v>7</v>
      </c>
    </row>
    <row r="2518" spans="1:8" x14ac:dyDescent="0.3">
      <c r="A2518" t="s">
        <v>95</v>
      </c>
      <c r="B2518" s="2" t="s">
        <v>2</v>
      </c>
      <c r="F2518" t="s">
        <v>65</v>
      </c>
      <c r="H2518">
        <v>27</v>
      </c>
    </row>
    <row r="2519" spans="1:8" x14ac:dyDescent="0.3">
      <c r="A2519" t="s">
        <v>95</v>
      </c>
      <c r="B2519" s="2" t="s">
        <v>4</v>
      </c>
      <c r="F2519" t="s">
        <v>65</v>
      </c>
      <c r="H2519">
        <v>7</v>
      </c>
    </row>
    <row r="2520" spans="1:8" x14ac:dyDescent="0.3">
      <c r="A2520" t="s">
        <v>95</v>
      </c>
      <c r="B2520" s="2" t="s">
        <v>2</v>
      </c>
      <c r="F2520" t="s">
        <v>66</v>
      </c>
      <c r="H2520">
        <f>58+178</f>
        <v>236</v>
      </c>
    </row>
    <row r="2521" spans="1:8" x14ac:dyDescent="0.3">
      <c r="A2521" t="s">
        <v>95</v>
      </c>
      <c r="B2521" s="2" t="s">
        <v>4</v>
      </c>
      <c r="F2521" t="s">
        <v>66</v>
      </c>
      <c r="H2521">
        <v>54</v>
      </c>
    </row>
    <row r="2522" spans="1:8" x14ac:dyDescent="0.3">
      <c r="A2522" t="s">
        <v>95</v>
      </c>
      <c r="B2522" s="2" t="s">
        <v>4</v>
      </c>
      <c r="G2522" t="s">
        <v>68</v>
      </c>
      <c r="H2522">
        <v>387</v>
      </c>
    </row>
    <row r="2523" spans="1:8" x14ac:dyDescent="0.3">
      <c r="A2523" t="s">
        <v>95</v>
      </c>
      <c r="B2523" s="2" t="s">
        <v>2</v>
      </c>
      <c r="G2523" t="s">
        <v>82</v>
      </c>
      <c r="H2523">
        <v>20</v>
      </c>
    </row>
    <row r="2524" spans="1:8" x14ac:dyDescent="0.3">
      <c r="A2524" t="s">
        <v>95</v>
      </c>
      <c r="B2524" s="2" t="s">
        <v>2</v>
      </c>
      <c r="G2524" t="s">
        <v>83</v>
      </c>
      <c r="H2524">
        <v>421</v>
      </c>
    </row>
    <row r="2525" spans="1:8" x14ac:dyDescent="0.3">
      <c r="A2525" t="s">
        <v>95</v>
      </c>
      <c r="B2525" s="2" t="s">
        <v>4</v>
      </c>
      <c r="G2525" t="s">
        <v>83</v>
      </c>
      <c r="H2525">
        <v>41</v>
      </c>
    </row>
    <row r="2526" spans="1:8" x14ac:dyDescent="0.3">
      <c r="A2526" t="s">
        <v>95</v>
      </c>
      <c r="B2526" s="2" t="s">
        <v>2</v>
      </c>
      <c r="G2526" t="s">
        <v>69</v>
      </c>
      <c r="H2526">
        <v>226</v>
      </c>
    </row>
    <row r="2527" spans="1:8" x14ac:dyDescent="0.3">
      <c r="A2527" t="s">
        <v>95</v>
      </c>
      <c r="B2527" s="2" t="s">
        <v>4</v>
      </c>
      <c r="G2527" t="s">
        <v>69</v>
      </c>
      <c r="H2527">
        <v>159</v>
      </c>
    </row>
    <row r="2528" spans="1:8" x14ac:dyDescent="0.3">
      <c r="A2528" t="s">
        <v>95</v>
      </c>
      <c r="B2528" s="2" t="s">
        <v>2</v>
      </c>
      <c r="G2528" t="s">
        <v>70</v>
      </c>
      <c r="H2528">
        <v>665</v>
      </c>
    </row>
    <row r="2529" spans="1:8" x14ac:dyDescent="0.3">
      <c r="A2529" t="s">
        <v>95</v>
      </c>
      <c r="B2529" s="2" t="s">
        <v>4</v>
      </c>
      <c r="G2529" t="s">
        <v>70</v>
      </c>
      <c r="H2529">
        <v>108</v>
      </c>
    </row>
    <row r="2530" spans="1:8" x14ac:dyDescent="0.3">
      <c r="A2530" t="s">
        <v>95</v>
      </c>
      <c r="B2530" s="2" t="s">
        <v>2</v>
      </c>
      <c r="G2530" t="s">
        <v>84</v>
      </c>
      <c r="H2530">
        <v>520</v>
      </c>
    </row>
    <row r="2531" spans="1:8" x14ac:dyDescent="0.3">
      <c r="A2531" t="s">
        <v>95</v>
      </c>
      <c r="B2531" s="2" t="s">
        <v>4</v>
      </c>
      <c r="G2531" t="s">
        <v>84</v>
      </c>
      <c r="H2531">
        <v>42</v>
      </c>
    </row>
    <row r="2532" spans="1:8" x14ac:dyDescent="0.3">
      <c r="A2532" t="s">
        <v>95</v>
      </c>
      <c r="B2532" s="2" t="s">
        <v>2</v>
      </c>
      <c r="G2532" t="s">
        <v>71</v>
      </c>
      <c r="H2532">
        <v>339</v>
      </c>
    </row>
    <row r="2533" spans="1:8" x14ac:dyDescent="0.3">
      <c r="A2533" t="s">
        <v>95</v>
      </c>
      <c r="B2533" s="2" t="s">
        <v>4</v>
      </c>
      <c r="G2533" t="s">
        <v>71</v>
      </c>
      <c r="H2533">
        <v>22</v>
      </c>
    </row>
    <row r="2534" spans="1:8" x14ac:dyDescent="0.3">
      <c r="A2534" t="s">
        <v>95</v>
      </c>
      <c r="B2534" s="2" t="s">
        <v>2</v>
      </c>
      <c r="G2534" t="s">
        <v>72</v>
      </c>
      <c r="H2534">
        <v>367</v>
      </c>
    </row>
    <row r="2535" spans="1:8" x14ac:dyDescent="0.3">
      <c r="A2535" t="s">
        <v>95</v>
      </c>
      <c r="B2535" s="2" t="s">
        <v>4</v>
      </c>
      <c r="G2535" t="s">
        <v>72</v>
      </c>
      <c r="H2535">
        <v>100</v>
      </c>
    </row>
    <row r="2536" spans="1:8" x14ac:dyDescent="0.3">
      <c r="A2536" t="s">
        <v>52</v>
      </c>
      <c r="B2536" s="2" t="s">
        <v>2</v>
      </c>
      <c r="C2536" s="4" t="s">
        <v>13</v>
      </c>
      <c r="H2536" s="3">
        <v>7</v>
      </c>
    </row>
    <row r="2537" spans="1:8" x14ac:dyDescent="0.3">
      <c r="A2537" t="s">
        <v>52</v>
      </c>
      <c r="B2537" s="2" t="s">
        <v>4</v>
      </c>
      <c r="C2537" s="4" t="s">
        <v>13</v>
      </c>
      <c r="H2537" s="3">
        <v>1</v>
      </c>
    </row>
    <row r="2538" spans="1:8" x14ac:dyDescent="0.3">
      <c r="A2538" t="s">
        <v>52</v>
      </c>
      <c r="B2538" s="2" t="s">
        <v>2</v>
      </c>
      <c r="C2538" s="4" t="s">
        <v>104</v>
      </c>
      <c r="H2538" s="3">
        <v>28</v>
      </c>
    </row>
    <row r="2539" spans="1:8" x14ac:dyDescent="0.3">
      <c r="A2539" t="s">
        <v>52</v>
      </c>
      <c r="B2539" s="2" t="s">
        <v>4</v>
      </c>
      <c r="C2539" s="4" t="s">
        <v>104</v>
      </c>
      <c r="H2539" s="3">
        <v>3</v>
      </c>
    </row>
    <row r="2540" spans="1:8" x14ac:dyDescent="0.3">
      <c r="A2540" t="s">
        <v>52</v>
      </c>
      <c r="B2540" s="2" t="s">
        <v>2</v>
      </c>
      <c r="C2540" s="4" t="s">
        <v>7</v>
      </c>
      <c r="H2540" s="3">
        <v>105</v>
      </c>
    </row>
    <row r="2541" spans="1:8" x14ac:dyDescent="0.3">
      <c r="A2541" t="s">
        <v>52</v>
      </c>
      <c r="B2541" s="2" t="s">
        <v>4</v>
      </c>
      <c r="C2541" s="4" t="s">
        <v>7</v>
      </c>
      <c r="H2541" s="3">
        <f>119-46</f>
        <v>73</v>
      </c>
    </row>
    <row r="2542" spans="1:8" x14ac:dyDescent="0.3">
      <c r="A2542" t="s">
        <v>52</v>
      </c>
      <c r="B2542" s="2" t="s">
        <v>2</v>
      </c>
      <c r="C2542" s="4" t="s">
        <v>103</v>
      </c>
      <c r="H2542" s="3">
        <v>31</v>
      </c>
    </row>
    <row r="2543" spans="1:8" x14ac:dyDescent="0.3">
      <c r="A2543" t="s">
        <v>52</v>
      </c>
      <c r="B2543" s="2" t="s">
        <v>4</v>
      </c>
      <c r="C2543" s="4" t="s">
        <v>103</v>
      </c>
      <c r="H2543" s="3">
        <v>50</v>
      </c>
    </row>
    <row r="2544" spans="1:8" x14ac:dyDescent="0.3">
      <c r="A2544" t="s">
        <v>52</v>
      </c>
      <c r="B2544" s="2" t="s">
        <v>4</v>
      </c>
      <c r="C2544" s="4" t="s">
        <v>79</v>
      </c>
      <c r="H2544" s="3">
        <v>1</v>
      </c>
    </row>
    <row r="2545" spans="1:8" x14ac:dyDescent="0.3">
      <c r="A2545" t="s">
        <v>52</v>
      </c>
      <c r="B2545" s="2" t="s">
        <v>2</v>
      </c>
      <c r="C2545" s="4" t="s">
        <v>79</v>
      </c>
      <c r="H2545" s="3">
        <v>6</v>
      </c>
    </row>
    <row r="2546" spans="1:8" x14ac:dyDescent="0.3">
      <c r="A2546" t="s">
        <v>52</v>
      </c>
      <c r="B2546" s="2" t="s">
        <v>2</v>
      </c>
      <c r="C2546" s="4" t="s">
        <v>58</v>
      </c>
      <c r="H2546" s="3">
        <v>1</v>
      </c>
    </row>
    <row r="2547" spans="1:8" x14ac:dyDescent="0.3">
      <c r="A2547" t="s">
        <v>52</v>
      </c>
      <c r="B2547" s="2" t="s">
        <v>4</v>
      </c>
      <c r="C2547" s="4" t="s">
        <v>58</v>
      </c>
      <c r="H2547" s="3">
        <v>3</v>
      </c>
    </row>
    <row r="2548" spans="1:8" x14ac:dyDescent="0.3">
      <c r="A2548" t="s">
        <v>52</v>
      </c>
      <c r="B2548" s="2" t="s">
        <v>2</v>
      </c>
      <c r="C2548" s="4" t="s">
        <v>59</v>
      </c>
      <c r="H2548" s="3">
        <v>7</v>
      </c>
    </row>
    <row r="2549" spans="1:8" x14ac:dyDescent="0.3">
      <c r="A2549" t="s">
        <v>52</v>
      </c>
      <c r="B2549" s="2" t="s">
        <v>4</v>
      </c>
      <c r="C2549" s="4" t="s">
        <v>59</v>
      </c>
      <c r="H2549" s="3">
        <v>7</v>
      </c>
    </row>
    <row r="2550" spans="1:8" x14ac:dyDescent="0.3">
      <c r="A2550" t="s">
        <v>52</v>
      </c>
      <c r="B2550" s="2" t="s">
        <v>2</v>
      </c>
      <c r="D2550" t="s">
        <v>81</v>
      </c>
      <c r="H2550">
        <v>8</v>
      </c>
    </row>
    <row r="2551" spans="1:8" x14ac:dyDescent="0.3">
      <c r="A2551" t="s">
        <v>52</v>
      </c>
      <c r="B2551" s="2" t="s">
        <v>4</v>
      </c>
      <c r="D2551" t="s">
        <v>81</v>
      </c>
      <c r="H2551">
        <v>3</v>
      </c>
    </row>
    <row r="2552" spans="1:8" x14ac:dyDescent="0.3">
      <c r="A2552" t="s">
        <v>52</v>
      </c>
      <c r="B2552" s="2" t="s">
        <v>4</v>
      </c>
      <c r="D2552" t="s">
        <v>73</v>
      </c>
      <c r="H2552">
        <v>10</v>
      </c>
    </row>
    <row r="2553" spans="1:8" x14ac:dyDescent="0.3">
      <c r="A2553" t="s">
        <v>52</v>
      </c>
      <c r="B2553" s="2" t="s">
        <v>2</v>
      </c>
      <c r="D2553" t="s">
        <v>9</v>
      </c>
      <c r="H2553">
        <v>4</v>
      </c>
    </row>
    <row r="2554" spans="1:8" x14ac:dyDescent="0.3">
      <c r="A2554" t="s">
        <v>52</v>
      </c>
      <c r="B2554" s="2" t="s">
        <v>4</v>
      </c>
      <c r="D2554" t="s">
        <v>9</v>
      </c>
      <c r="H2554">
        <v>3</v>
      </c>
    </row>
    <row r="2555" spans="1:8" x14ac:dyDescent="0.3">
      <c r="A2555" t="s">
        <v>52</v>
      </c>
      <c r="B2555" s="2" t="s">
        <v>2</v>
      </c>
      <c r="D2555" t="s">
        <v>11</v>
      </c>
      <c r="H2555">
        <v>46</v>
      </c>
    </row>
    <row r="2556" spans="1:8" x14ac:dyDescent="0.3">
      <c r="A2556" t="s">
        <v>52</v>
      </c>
      <c r="B2556" s="2" t="s">
        <v>4</v>
      </c>
      <c r="D2556" t="s">
        <v>11</v>
      </c>
      <c r="H2556">
        <v>34</v>
      </c>
    </row>
    <row r="2557" spans="1:8" x14ac:dyDescent="0.3">
      <c r="A2557" t="s">
        <v>52</v>
      </c>
      <c r="B2557" s="2" t="s">
        <v>4</v>
      </c>
      <c r="D2557" t="s">
        <v>80</v>
      </c>
      <c r="H2557">
        <v>16</v>
      </c>
    </row>
    <row r="2558" spans="1:8" x14ac:dyDescent="0.3">
      <c r="A2558" t="s">
        <v>52</v>
      </c>
      <c r="B2558" s="2" t="s">
        <v>2</v>
      </c>
      <c r="D2558" t="s">
        <v>80</v>
      </c>
      <c r="H2558">
        <v>18</v>
      </c>
    </row>
    <row r="2559" spans="1:8" x14ac:dyDescent="0.3">
      <c r="A2559" t="s">
        <v>52</v>
      </c>
      <c r="B2559" s="2" t="s">
        <v>2</v>
      </c>
      <c r="D2559" t="s">
        <v>8</v>
      </c>
      <c r="H2559">
        <v>1</v>
      </c>
    </row>
    <row r="2560" spans="1:8" x14ac:dyDescent="0.3">
      <c r="A2560" t="s">
        <v>52</v>
      </c>
      <c r="B2560" s="2" t="s">
        <v>2</v>
      </c>
      <c r="D2560" t="s">
        <v>76</v>
      </c>
      <c r="H2560">
        <v>6</v>
      </c>
    </row>
    <row r="2561" spans="1:8" x14ac:dyDescent="0.3">
      <c r="A2561" t="s">
        <v>52</v>
      </c>
      <c r="B2561" s="2" t="s">
        <v>4</v>
      </c>
      <c r="D2561" t="s">
        <v>10</v>
      </c>
      <c r="H2561">
        <v>2</v>
      </c>
    </row>
    <row r="2562" spans="1:8" x14ac:dyDescent="0.3">
      <c r="A2562" t="s">
        <v>52</v>
      </c>
      <c r="B2562" s="2" t="s">
        <v>2</v>
      </c>
      <c r="D2562" t="s">
        <v>14</v>
      </c>
      <c r="H2562">
        <v>7</v>
      </c>
    </row>
    <row r="2563" spans="1:8" x14ac:dyDescent="0.3">
      <c r="A2563" t="s">
        <v>52</v>
      </c>
      <c r="B2563" s="2" t="s">
        <v>4</v>
      </c>
      <c r="D2563" t="s">
        <v>14</v>
      </c>
      <c r="H2563">
        <v>8</v>
      </c>
    </row>
    <row r="2564" spans="1:8" x14ac:dyDescent="0.3">
      <c r="A2564" t="s">
        <v>52</v>
      </c>
      <c r="B2564" s="2" t="s">
        <v>2</v>
      </c>
      <c r="D2564" t="s">
        <v>15</v>
      </c>
      <c r="H2564">
        <v>5</v>
      </c>
    </row>
    <row r="2565" spans="1:8" x14ac:dyDescent="0.3">
      <c r="A2565" t="s">
        <v>52</v>
      </c>
      <c r="B2565" s="2" t="s">
        <v>4</v>
      </c>
      <c r="D2565" t="s">
        <v>15</v>
      </c>
      <c r="H2565">
        <v>1</v>
      </c>
    </row>
    <row r="2566" spans="1:8" x14ac:dyDescent="0.3">
      <c r="A2566" t="s">
        <v>52</v>
      </c>
      <c r="B2566" s="2" t="s">
        <v>2</v>
      </c>
      <c r="D2566" t="s">
        <v>17</v>
      </c>
      <c r="H2566">
        <v>13</v>
      </c>
    </row>
    <row r="2567" spans="1:8" x14ac:dyDescent="0.3">
      <c r="A2567" t="s">
        <v>52</v>
      </c>
      <c r="B2567" s="2" t="s">
        <v>4</v>
      </c>
      <c r="D2567" t="s">
        <v>17</v>
      </c>
      <c r="H2567">
        <v>4</v>
      </c>
    </row>
    <row r="2568" spans="1:8" x14ac:dyDescent="0.3">
      <c r="A2568" t="s">
        <v>52</v>
      </c>
      <c r="B2568" s="2" t="s">
        <v>2</v>
      </c>
      <c r="D2568" t="s">
        <v>6</v>
      </c>
      <c r="H2568">
        <v>3</v>
      </c>
    </row>
    <row r="2569" spans="1:8" x14ac:dyDescent="0.3">
      <c r="A2569" t="s">
        <v>52</v>
      </c>
      <c r="B2569" s="2" t="s">
        <v>4</v>
      </c>
      <c r="D2569" t="s">
        <v>6</v>
      </c>
      <c r="H2569">
        <v>2</v>
      </c>
    </row>
    <row r="2570" spans="1:8" x14ac:dyDescent="0.3">
      <c r="A2570" t="s">
        <v>52</v>
      </c>
      <c r="B2570" s="2" t="s">
        <v>2</v>
      </c>
      <c r="D2570" t="s">
        <v>16</v>
      </c>
      <c r="H2570">
        <v>10</v>
      </c>
    </row>
    <row r="2571" spans="1:8" x14ac:dyDescent="0.3">
      <c r="A2571" t="s">
        <v>52</v>
      </c>
      <c r="B2571" s="2" t="s">
        <v>2</v>
      </c>
      <c r="D2571" t="s">
        <v>78</v>
      </c>
      <c r="H2571">
        <f>15+49</f>
        <v>64</v>
      </c>
    </row>
    <row r="2572" spans="1:8" x14ac:dyDescent="0.3">
      <c r="A2572" t="s">
        <v>52</v>
      </c>
      <c r="B2572" s="2" t="s">
        <v>4</v>
      </c>
      <c r="D2572" t="s">
        <v>78</v>
      </c>
      <c r="H2572">
        <v>55</v>
      </c>
    </row>
    <row r="2573" spans="1:8" x14ac:dyDescent="0.3">
      <c r="A2573" t="s">
        <v>52</v>
      </c>
      <c r="B2573" s="2" t="s">
        <v>2</v>
      </c>
      <c r="E2573" t="s">
        <v>21</v>
      </c>
      <c r="H2573">
        <v>32</v>
      </c>
    </row>
    <row r="2574" spans="1:8" x14ac:dyDescent="0.3">
      <c r="A2574" t="s">
        <v>52</v>
      </c>
      <c r="B2574" s="2" t="s">
        <v>4</v>
      </c>
      <c r="E2574" t="s">
        <v>21</v>
      </c>
      <c r="H2574">
        <v>32</v>
      </c>
    </row>
    <row r="2575" spans="1:8" x14ac:dyDescent="0.3">
      <c r="A2575" t="s">
        <v>52</v>
      </c>
      <c r="B2575" s="2" t="s">
        <v>2</v>
      </c>
      <c r="E2575" t="s">
        <v>91</v>
      </c>
      <c r="H2575">
        <f>38+17</f>
        <v>55</v>
      </c>
    </row>
    <row r="2576" spans="1:8" x14ac:dyDescent="0.3">
      <c r="A2576" t="s">
        <v>52</v>
      </c>
      <c r="B2576" s="2" t="s">
        <v>4</v>
      </c>
      <c r="E2576" t="s">
        <v>91</v>
      </c>
      <c r="H2576">
        <f>22+29</f>
        <v>51</v>
      </c>
    </row>
    <row r="2577" spans="1:8" x14ac:dyDescent="0.3">
      <c r="A2577" t="s">
        <v>52</v>
      </c>
      <c r="B2577" s="2" t="s">
        <v>2</v>
      </c>
      <c r="E2577" t="s">
        <v>90</v>
      </c>
      <c r="H2577">
        <v>43</v>
      </c>
    </row>
    <row r="2578" spans="1:8" x14ac:dyDescent="0.3">
      <c r="A2578" t="s">
        <v>52</v>
      </c>
      <c r="B2578" s="2" t="s">
        <v>4</v>
      </c>
      <c r="E2578" t="s">
        <v>90</v>
      </c>
      <c r="H2578">
        <v>27</v>
      </c>
    </row>
    <row r="2579" spans="1:8" x14ac:dyDescent="0.3">
      <c r="A2579" t="s">
        <v>52</v>
      </c>
      <c r="B2579" s="2" t="s">
        <v>2</v>
      </c>
      <c r="E2579" t="s">
        <v>89</v>
      </c>
      <c r="H2579">
        <v>38</v>
      </c>
    </row>
    <row r="2580" spans="1:8" x14ac:dyDescent="0.3">
      <c r="A2580" t="s">
        <v>52</v>
      </c>
      <c r="B2580" s="2" t="s">
        <v>4</v>
      </c>
      <c r="E2580" t="s">
        <v>89</v>
      </c>
      <c r="H2580">
        <v>14</v>
      </c>
    </row>
    <row r="2581" spans="1:8" x14ac:dyDescent="0.3">
      <c r="A2581" t="s">
        <v>52</v>
      </c>
      <c r="B2581" s="2" t="s">
        <v>2</v>
      </c>
      <c r="E2581" t="s">
        <v>60</v>
      </c>
      <c r="H2581">
        <v>1</v>
      </c>
    </row>
    <row r="2582" spans="1:8" x14ac:dyDescent="0.3">
      <c r="A2582" t="s">
        <v>52</v>
      </c>
      <c r="B2582" s="2" t="s">
        <v>2</v>
      </c>
      <c r="E2582" t="s">
        <v>61</v>
      </c>
      <c r="H2582">
        <v>14</v>
      </c>
    </row>
    <row r="2583" spans="1:8" x14ac:dyDescent="0.3">
      <c r="A2583" t="s">
        <v>52</v>
      </c>
      <c r="B2583" s="2" t="s">
        <v>4</v>
      </c>
      <c r="E2583" t="s">
        <v>61</v>
      </c>
      <c r="H2583">
        <v>11</v>
      </c>
    </row>
    <row r="2584" spans="1:8" x14ac:dyDescent="0.3">
      <c r="A2584" t="s">
        <v>52</v>
      </c>
      <c r="B2584" s="2" t="s">
        <v>2</v>
      </c>
      <c r="E2584" t="s">
        <v>62</v>
      </c>
      <c r="H2584">
        <v>2</v>
      </c>
    </row>
    <row r="2585" spans="1:8" x14ac:dyDescent="0.3">
      <c r="A2585" t="s">
        <v>52</v>
      </c>
      <c r="B2585" s="2" t="s">
        <v>4</v>
      </c>
      <c r="E2585" t="s">
        <v>62</v>
      </c>
      <c r="H2585">
        <v>3</v>
      </c>
    </row>
    <row r="2586" spans="1:8" x14ac:dyDescent="0.3">
      <c r="A2586" t="s">
        <v>52</v>
      </c>
      <c r="B2586" s="2" t="s">
        <v>2</v>
      </c>
      <c r="F2586" t="s">
        <v>64</v>
      </c>
      <c r="H2586">
        <v>60</v>
      </c>
    </row>
    <row r="2587" spans="1:8" x14ac:dyDescent="0.3">
      <c r="A2587" t="s">
        <v>52</v>
      </c>
      <c r="B2587" s="2" t="s">
        <v>4</v>
      </c>
      <c r="F2587" t="s">
        <v>64</v>
      </c>
      <c r="H2587">
        <v>49</v>
      </c>
    </row>
    <row r="2588" spans="1:8" x14ac:dyDescent="0.3">
      <c r="A2588" t="s">
        <v>52</v>
      </c>
      <c r="B2588" s="2" t="s">
        <v>2</v>
      </c>
      <c r="F2588" t="s">
        <v>18</v>
      </c>
      <c r="H2588">
        <v>121</v>
      </c>
    </row>
    <row r="2589" spans="1:8" x14ac:dyDescent="0.3">
      <c r="A2589" t="s">
        <v>52</v>
      </c>
      <c r="B2589" s="2" t="s">
        <v>4</v>
      </c>
      <c r="F2589" t="s">
        <v>18</v>
      </c>
      <c r="H2589">
        <v>78</v>
      </c>
    </row>
    <row r="2590" spans="1:8" x14ac:dyDescent="0.3">
      <c r="A2590" t="s">
        <v>52</v>
      </c>
      <c r="B2590" s="2" t="s">
        <v>4</v>
      </c>
      <c r="F2590" t="s">
        <v>20</v>
      </c>
      <c r="H2590">
        <v>1</v>
      </c>
    </row>
    <row r="2591" spans="1:8" x14ac:dyDescent="0.3">
      <c r="A2591" t="s">
        <v>52</v>
      </c>
      <c r="B2591" s="2" t="s">
        <v>2</v>
      </c>
      <c r="F2591" t="s">
        <v>66</v>
      </c>
      <c r="H2591">
        <v>4</v>
      </c>
    </row>
    <row r="2592" spans="1:8" x14ac:dyDescent="0.3">
      <c r="A2592" t="s">
        <v>52</v>
      </c>
      <c r="B2592" s="2" t="s">
        <v>4</v>
      </c>
      <c r="F2592" t="s">
        <v>66</v>
      </c>
      <c r="H2592">
        <v>10</v>
      </c>
    </row>
    <row r="2593" spans="1:8" x14ac:dyDescent="0.3">
      <c r="A2593" t="s">
        <v>52</v>
      </c>
      <c r="B2593" s="2" t="s">
        <v>4</v>
      </c>
      <c r="G2593" t="s">
        <v>68</v>
      </c>
      <c r="H2593">
        <v>32</v>
      </c>
    </row>
    <row r="2594" spans="1:8" x14ac:dyDescent="0.3">
      <c r="A2594" t="s">
        <v>52</v>
      </c>
      <c r="B2594" s="2" t="s">
        <v>2</v>
      </c>
      <c r="G2594" t="s">
        <v>82</v>
      </c>
      <c r="H2594">
        <v>33</v>
      </c>
    </row>
    <row r="2595" spans="1:8" x14ac:dyDescent="0.3">
      <c r="A2595" t="s">
        <v>52</v>
      </c>
      <c r="B2595" s="2" t="s">
        <v>4</v>
      </c>
      <c r="G2595" t="s">
        <v>82</v>
      </c>
      <c r="H2595">
        <v>1</v>
      </c>
    </row>
    <row r="2596" spans="1:8" x14ac:dyDescent="0.3">
      <c r="A2596" t="s">
        <v>52</v>
      </c>
      <c r="B2596" s="2" t="s">
        <v>2</v>
      </c>
      <c r="G2596" t="s">
        <v>83</v>
      </c>
      <c r="H2596">
        <v>8</v>
      </c>
    </row>
    <row r="2597" spans="1:8" x14ac:dyDescent="0.3">
      <c r="A2597" t="s">
        <v>52</v>
      </c>
      <c r="B2597" s="2" t="s">
        <v>2</v>
      </c>
      <c r="G2597" t="s">
        <v>69</v>
      </c>
      <c r="H2597">
        <v>21</v>
      </c>
    </row>
    <row r="2598" spans="1:8" x14ac:dyDescent="0.3">
      <c r="A2598" t="s">
        <v>52</v>
      </c>
      <c r="B2598" s="2" t="s">
        <v>4</v>
      </c>
      <c r="G2598" t="s">
        <v>69</v>
      </c>
      <c r="H2598">
        <v>24</v>
      </c>
    </row>
    <row r="2599" spans="1:8" x14ac:dyDescent="0.3">
      <c r="A2599" t="s">
        <v>52</v>
      </c>
      <c r="B2599" s="2" t="s">
        <v>2</v>
      </c>
      <c r="G2599" t="s">
        <v>70</v>
      </c>
      <c r="H2599">
        <v>58</v>
      </c>
    </row>
    <row r="2600" spans="1:8" x14ac:dyDescent="0.3">
      <c r="A2600" t="s">
        <v>52</v>
      </c>
      <c r="B2600" s="2" t="s">
        <v>4</v>
      </c>
      <c r="G2600" t="s">
        <v>70</v>
      </c>
      <c r="H2600">
        <v>26</v>
      </c>
    </row>
    <row r="2601" spans="1:8" x14ac:dyDescent="0.3">
      <c r="A2601" t="s">
        <v>52</v>
      </c>
      <c r="B2601" s="2" t="s">
        <v>2</v>
      </c>
      <c r="G2601" t="s">
        <v>84</v>
      </c>
      <c r="H2601">
        <v>7</v>
      </c>
    </row>
    <row r="2602" spans="1:8" x14ac:dyDescent="0.3">
      <c r="A2602" t="s">
        <v>52</v>
      </c>
      <c r="B2602" s="2" t="s">
        <v>2</v>
      </c>
      <c r="G2602" t="s">
        <v>85</v>
      </c>
      <c r="H2602">
        <v>1</v>
      </c>
    </row>
    <row r="2603" spans="1:8" x14ac:dyDescent="0.3">
      <c r="A2603" t="s">
        <v>52</v>
      </c>
      <c r="B2603" s="2" t="s">
        <v>2</v>
      </c>
      <c r="G2603" t="s">
        <v>71</v>
      </c>
      <c r="H2603">
        <v>6</v>
      </c>
    </row>
    <row r="2604" spans="1:8" x14ac:dyDescent="0.3">
      <c r="A2604" t="s">
        <v>52</v>
      </c>
      <c r="B2604" s="2" t="s">
        <v>4</v>
      </c>
      <c r="G2604" t="s">
        <v>71</v>
      </c>
      <c r="H2604">
        <v>2</v>
      </c>
    </row>
    <row r="2605" spans="1:8" x14ac:dyDescent="0.3">
      <c r="A2605" t="s">
        <v>52</v>
      </c>
      <c r="B2605" s="2" t="s">
        <v>2</v>
      </c>
      <c r="G2605" t="s">
        <v>72</v>
      </c>
      <c r="H2605">
        <v>51</v>
      </c>
    </row>
    <row r="2606" spans="1:8" x14ac:dyDescent="0.3">
      <c r="A2606" t="s">
        <v>52</v>
      </c>
      <c r="B2606" s="2" t="s">
        <v>4</v>
      </c>
      <c r="G2606" t="s">
        <v>72</v>
      </c>
      <c r="H2606">
        <v>53</v>
      </c>
    </row>
    <row r="2607" spans="1:8" x14ac:dyDescent="0.3">
      <c r="A2607" t="s">
        <v>53</v>
      </c>
      <c r="B2607" s="2" t="s">
        <v>2</v>
      </c>
      <c r="C2607" s="4" t="s">
        <v>7</v>
      </c>
      <c r="H2607" s="3">
        <v>12</v>
      </c>
    </row>
    <row r="2608" spans="1:8" x14ac:dyDescent="0.3">
      <c r="A2608" t="s">
        <v>53</v>
      </c>
      <c r="B2608" s="2" t="s">
        <v>4</v>
      </c>
      <c r="C2608" s="4" t="s">
        <v>7</v>
      </c>
      <c r="H2608" s="3">
        <v>1</v>
      </c>
    </row>
    <row r="2609" spans="1:8" x14ac:dyDescent="0.3">
      <c r="A2609" t="s">
        <v>53</v>
      </c>
      <c r="B2609" s="2" t="s">
        <v>2</v>
      </c>
      <c r="D2609" t="s">
        <v>9</v>
      </c>
      <c r="H2609">
        <v>2</v>
      </c>
    </row>
    <row r="2610" spans="1:8" x14ac:dyDescent="0.3">
      <c r="A2610" t="s">
        <v>53</v>
      </c>
      <c r="B2610" s="2" t="s">
        <v>4</v>
      </c>
      <c r="D2610" t="s">
        <v>80</v>
      </c>
      <c r="H2610">
        <v>1</v>
      </c>
    </row>
    <row r="2611" spans="1:8" x14ac:dyDescent="0.3">
      <c r="A2611" t="s">
        <v>53</v>
      </c>
      <c r="B2611" s="2" t="s">
        <v>2</v>
      </c>
      <c r="D2611" t="s">
        <v>76</v>
      </c>
      <c r="H2611">
        <v>2</v>
      </c>
    </row>
    <row r="2612" spans="1:8" x14ac:dyDescent="0.3">
      <c r="A2612" t="s">
        <v>53</v>
      </c>
      <c r="B2612" s="2" t="s">
        <v>2</v>
      </c>
      <c r="D2612" t="s">
        <v>10</v>
      </c>
      <c r="H2612">
        <v>1</v>
      </c>
    </row>
    <row r="2613" spans="1:8" x14ac:dyDescent="0.3">
      <c r="A2613" t="s">
        <v>53</v>
      </c>
      <c r="B2613" s="2" t="s">
        <v>2</v>
      </c>
      <c r="D2613" t="s">
        <v>15</v>
      </c>
      <c r="H2613">
        <v>1</v>
      </c>
    </row>
    <row r="2614" spans="1:8" x14ac:dyDescent="0.3">
      <c r="A2614" t="s">
        <v>53</v>
      </c>
      <c r="B2614" s="2" t="s">
        <v>2</v>
      </c>
      <c r="D2614" t="s">
        <v>17</v>
      </c>
      <c r="H2614">
        <v>1</v>
      </c>
    </row>
    <row r="2615" spans="1:8" x14ac:dyDescent="0.3">
      <c r="A2615" t="s">
        <v>53</v>
      </c>
      <c r="B2615" s="2" t="s">
        <v>2</v>
      </c>
      <c r="D2615" t="s">
        <v>6</v>
      </c>
      <c r="H2615">
        <v>1</v>
      </c>
    </row>
    <row r="2616" spans="1:8" x14ac:dyDescent="0.3">
      <c r="A2616" t="s">
        <v>53</v>
      </c>
      <c r="B2616" s="2" t="s">
        <v>2</v>
      </c>
      <c r="D2616" t="s">
        <v>16</v>
      </c>
      <c r="H2616">
        <v>4</v>
      </c>
    </row>
    <row r="2617" spans="1:8" x14ac:dyDescent="0.3">
      <c r="A2617" t="s">
        <v>53</v>
      </c>
      <c r="B2617" s="2" t="s">
        <v>2</v>
      </c>
      <c r="E2617" t="s">
        <v>21</v>
      </c>
      <c r="H2617">
        <v>4</v>
      </c>
    </row>
    <row r="2618" spans="1:8" x14ac:dyDescent="0.3">
      <c r="A2618" t="s">
        <v>53</v>
      </c>
      <c r="B2618" s="2" t="s">
        <v>4</v>
      </c>
      <c r="E2618" t="s">
        <v>21</v>
      </c>
      <c r="H2618">
        <v>1</v>
      </c>
    </row>
    <row r="2619" spans="1:8" x14ac:dyDescent="0.3">
      <c r="A2619" t="s">
        <v>53</v>
      </c>
      <c r="B2619" s="2" t="s">
        <v>2</v>
      </c>
      <c r="E2619" t="s">
        <v>91</v>
      </c>
      <c r="H2619">
        <v>4</v>
      </c>
    </row>
    <row r="2620" spans="1:8" x14ac:dyDescent="0.3">
      <c r="A2620" t="s">
        <v>53</v>
      </c>
      <c r="B2620" s="2" t="s">
        <v>2</v>
      </c>
      <c r="E2620" t="s">
        <v>90</v>
      </c>
      <c r="H2620">
        <v>3</v>
      </c>
    </row>
    <row r="2621" spans="1:8" x14ac:dyDescent="0.3">
      <c r="A2621" t="s">
        <v>53</v>
      </c>
      <c r="B2621" s="2" t="s">
        <v>2</v>
      </c>
      <c r="E2621" t="s">
        <v>89</v>
      </c>
      <c r="H2621">
        <v>1</v>
      </c>
    </row>
    <row r="2622" spans="1:8" x14ac:dyDescent="0.3">
      <c r="A2622" t="s">
        <v>53</v>
      </c>
      <c r="B2622" s="2" t="s">
        <v>2</v>
      </c>
      <c r="F2622" t="s">
        <v>64</v>
      </c>
      <c r="H2622">
        <v>3</v>
      </c>
    </row>
    <row r="2623" spans="1:8" x14ac:dyDescent="0.3">
      <c r="A2623" t="s">
        <v>53</v>
      </c>
      <c r="B2623" s="2" t="s">
        <v>2</v>
      </c>
      <c r="F2623" t="s">
        <v>18</v>
      </c>
      <c r="H2623">
        <v>5</v>
      </c>
    </row>
    <row r="2624" spans="1:8" x14ac:dyDescent="0.3">
      <c r="A2624" t="s">
        <v>53</v>
      </c>
      <c r="B2624" s="2" t="s">
        <v>4</v>
      </c>
      <c r="F2624" t="s">
        <v>18</v>
      </c>
      <c r="H2624">
        <v>1</v>
      </c>
    </row>
    <row r="2625" spans="1:8" x14ac:dyDescent="0.3">
      <c r="A2625" t="s">
        <v>53</v>
      </c>
      <c r="B2625" s="2" t="s">
        <v>2</v>
      </c>
      <c r="F2625" t="s">
        <v>20</v>
      </c>
      <c r="H2625">
        <v>1</v>
      </c>
    </row>
    <row r="2626" spans="1:8" x14ac:dyDescent="0.3">
      <c r="A2626" t="s">
        <v>53</v>
      </c>
      <c r="B2626" s="2" t="s">
        <v>2</v>
      </c>
      <c r="F2626" t="s">
        <v>65</v>
      </c>
      <c r="H2626">
        <v>3</v>
      </c>
    </row>
    <row r="2627" spans="1:8" x14ac:dyDescent="0.3">
      <c r="A2627" t="s">
        <v>53</v>
      </c>
      <c r="B2627" s="2" t="s">
        <v>4</v>
      </c>
      <c r="G2627" t="s">
        <v>68</v>
      </c>
      <c r="H2627">
        <v>1</v>
      </c>
    </row>
    <row r="2628" spans="1:8" x14ac:dyDescent="0.3">
      <c r="A2628" t="s">
        <v>53</v>
      </c>
      <c r="B2628" s="2" t="s">
        <v>2</v>
      </c>
      <c r="G2628" t="s">
        <v>82</v>
      </c>
      <c r="H2628">
        <v>1</v>
      </c>
    </row>
    <row r="2629" spans="1:8" x14ac:dyDescent="0.3">
      <c r="A2629" t="s">
        <v>53</v>
      </c>
      <c r="B2629" s="2" t="s">
        <v>2</v>
      </c>
      <c r="G2629" t="s">
        <v>69</v>
      </c>
      <c r="H2629">
        <v>3</v>
      </c>
    </row>
    <row r="2630" spans="1:8" x14ac:dyDescent="0.3">
      <c r="A2630" t="s">
        <v>53</v>
      </c>
      <c r="B2630" s="2" t="s">
        <v>2</v>
      </c>
      <c r="G2630" t="s">
        <v>70</v>
      </c>
      <c r="H2630">
        <v>1</v>
      </c>
    </row>
    <row r="2631" spans="1:8" x14ac:dyDescent="0.3">
      <c r="A2631" t="s">
        <v>53</v>
      </c>
      <c r="B2631" s="2" t="s">
        <v>2</v>
      </c>
      <c r="G2631" t="s">
        <v>84</v>
      </c>
      <c r="H2631">
        <v>4</v>
      </c>
    </row>
    <row r="2632" spans="1:8" x14ac:dyDescent="0.3">
      <c r="A2632" t="s">
        <v>53</v>
      </c>
      <c r="B2632" s="2" t="s">
        <v>2</v>
      </c>
      <c r="G2632" t="s">
        <v>85</v>
      </c>
      <c r="H2632">
        <v>3</v>
      </c>
    </row>
    <row r="2633" spans="1:8" x14ac:dyDescent="0.3">
      <c r="A2633" t="s">
        <v>54</v>
      </c>
      <c r="B2633" s="2" t="s">
        <v>2</v>
      </c>
      <c r="C2633" s="4" t="s">
        <v>7</v>
      </c>
      <c r="H2633" s="3">
        <v>2</v>
      </c>
    </row>
    <row r="2634" spans="1:8" x14ac:dyDescent="0.3">
      <c r="A2634" t="s">
        <v>54</v>
      </c>
      <c r="B2634" s="2" t="s">
        <v>2</v>
      </c>
      <c r="D2634" t="s">
        <v>11</v>
      </c>
      <c r="H2634">
        <v>2</v>
      </c>
    </row>
    <row r="2635" spans="1:8" x14ac:dyDescent="0.3">
      <c r="A2635" t="s">
        <v>54</v>
      </c>
      <c r="B2635" s="2" t="s">
        <v>2</v>
      </c>
      <c r="E2635" t="s">
        <v>90</v>
      </c>
      <c r="H2635">
        <v>2</v>
      </c>
    </row>
    <row r="2636" spans="1:8" x14ac:dyDescent="0.3">
      <c r="A2636" t="s">
        <v>54</v>
      </c>
      <c r="B2636" s="2" t="s">
        <v>2</v>
      </c>
      <c r="F2636" t="s">
        <v>18</v>
      </c>
      <c r="H2636">
        <v>2</v>
      </c>
    </row>
    <row r="2637" spans="1:8" x14ac:dyDescent="0.3">
      <c r="A2637" t="s">
        <v>54</v>
      </c>
      <c r="B2637" s="2" t="s">
        <v>2</v>
      </c>
      <c r="G2637" t="s">
        <v>82</v>
      </c>
      <c r="H2637">
        <v>1</v>
      </c>
    </row>
    <row r="2638" spans="1:8" x14ac:dyDescent="0.3">
      <c r="A2638" t="s">
        <v>54</v>
      </c>
      <c r="B2638" s="2" t="s">
        <v>2</v>
      </c>
      <c r="G2638" t="s">
        <v>84</v>
      </c>
      <c r="H2638">
        <v>1</v>
      </c>
    </row>
    <row r="2639" spans="1:8" x14ac:dyDescent="0.3">
      <c r="A2639" t="s">
        <v>55</v>
      </c>
      <c r="B2639" s="2" t="s">
        <v>2</v>
      </c>
      <c r="C2639" s="4" t="s">
        <v>13</v>
      </c>
      <c r="H2639" s="3">
        <v>3</v>
      </c>
    </row>
    <row r="2640" spans="1:8" x14ac:dyDescent="0.3">
      <c r="A2640" t="s">
        <v>55</v>
      </c>
      <c r="B2640" s="2" t="s">
        <v>4</v>
      </c>
      <c r="C2640" s="4" t="s">
        <v>13</v>
      </c>
      <c r="H2640" s="3">
        <v>2</v>
      </c>
    </row>
    <row r="2641" spans="1:8" x14ac:dyDescent="0.3">
      <c r="A2641" t="s">
        <v>55</v>
      </c>
      <c r="B2641" s="2" t="s">
        <v>2</v>
      </c>
      <c r="C2641" s="4" t="s">
        <v>104</v>
      </c>
      <c r="H2641" s="3">
        <v>5</v>
      </c>
    </row>
    <row r="2642" spans="1:8" x14ac:dyDescent="0.3">
      <c r="A2642" t="s">
        <v>55</v>
      </c>
      <c r="B2642" s="2" t="s">
        <v>4</v>
      </c>
      <c r="C2642" s="4" t="s">
        <v>104</v>
      </c>
      <c r="H2642" s="3">
        <v>1</v>
      </c>
    </row>
    <row r="2643" spans="1:8" x14ac:dyDescent="0.3">
      <c r="A2643" t="s">
        <v>55</v>
      </c>
      <c r="B2643" s="2" t="s">
        <v>2</v>
      </c>
      <c r="C2643" s="4" t="s">
        <v>7</v>
      </c>
      <c r="H2643" s="3">
        <v>296</v>
      </c>
    </row>
    <row r="2644" spans="1:8" x14ac:dyDescent="0.3">
      <c r="A2644" t="s">
        <v>55</v>
      </c>
      <c r="B2644" s="2" t="s">
        <v>4</v>
      </c>
      <c r="C2644" s="4" t="s">
        <v>7</v>
      </c>
      <c r="H2644" s="3">
        <v>91</v>
      </c>
    </row>
    <row r="2645" spans="1:8" x14ac:dyDescent="0.3">
      <c r="A2645" t="s">
        <v>55</v>
      </c>
      <c r="B2645" s="2" t="s">
        <v>56</v>
      </c>
      <c r="C2645" s="4" t="s">
        <v>7</v>
      </c>
      <c r="H2645" s="3">
        <v>1</v>
      </c>
    </row>
    <row r="2646" spans="1:8" x14ac:dyDescent="0.3">
      <c r="A2646" t="s">
        <v>55</v>
      </c>
      <c r="B2646" s="2" t="s">
        <v>2</v>
      </c>
      <c r="C2646" s="4" t="s">
        <v>103</v>
      </c>
      <c r="H2646" s="3">
        <v>39</v>
      </c>
    </row>
    <row r="2647" spans="1:8" x14ac:dyDescent="0.3">
      <c r="A2647" t="s">
        <v>55</v>
      </c>
      <c r="B2647" s="2" t="s">
        <v>4</v>
      </c>
      <c r="C2647" s="4" t="s">
        <v>103</v>
      </c>
      <c r="H2647" s="3">
        <v>18</v>
      </c>
    </row>
    <row r="2648" spans="1:8" x14ac:dyDescent="0.3">
      <c r="A2648" t="s">
        <v>55</v>
      </c>
      <c r="B2648" s="2" t="s">
        <v>4</v>
      </c>
      <c r="C2648" s="4" t="s">
        <v>79</v>
      </c>
      <c r="H2648" s="3">
        <v>1</v>
      </c>
    </row>
    <row r="2649" spans="1:8" x14ac:dyDescent="0.3">
      <c r="A2649" t="s">
        <v>55</v>
      </c>
      <c r="B2649" s="2" t="s">
        <v>2</v>
      </c>
      <c r="C2649" s="4" t="s">
        <v>59</v>
      </c>
      <c r="H2649" s="3">
        <v>14</v>
      </c>
    </row>
    <row r="2650" spans="1:8" x14ac:dyDescent="0.3">
      <c r="A2650" t="s">
        <v>55</v>
      </c>
      <c r="B2650" s="2" t="s">
        <v>4</v>
      </c>
      <c r="C2650" s="4" t="s">
        <v>59</v>
      </c>
      <c r="H2650" s="3">
        <v>10</v>
      </c>
    </row>
    <row r="2651" spans="1:8" x14ac:dyDescent="0.3">
      <c r="A2651" t="s">
        <v>55</v>
      </c>
      <c r="B2651" s="2" t="s">
        <v>4</v>
      </c>
      <c r="D2651" t="s">
        <v>73</v>
      </c>
      <c r="H2651">
        <v>1</v>
      </c>
    </row>
    <row r="2652" spans="1:8" x14ac:dyDescent="0.3">
      <c r="A2652" t="s">
        <v>55</v>
      </c>
      <c r="B2652" s="2" t="s">
        <v>2</v>
      </c>
      <c r="D2652" t="s">
        <v>11</v>
      </c>
      <c r="H2652">
        <v>119</v>
      </c>
    </row>
    <row r="2653" spans="1:8" x14ac:dyDescent="0.3">
      <c r="A2653" t="s">
        <v>55</v>
      </c>
      <c r="B2653" s="2" t="s">
        <v>4</v>
      </c>
      <c r="D2653" t="s">
        <v>11</v>
      </c>
      <c r="H2653">
        <v>17</v>
      </c>
    </row>
    <row r="2654" spans="1:8" x14ac:dyDescent="0.3">
      <c r="A2654" t="s">
        <v>55</v>
      </c>
      <c r="B2654" s="2" t="s">
        <v>56</v>
      </c>
      <c r="D2654" t="s">
        <v>11</v>
      </c>
      <c r="H2654">
        <v>1</v>
      </c>
    </row>
    <row r="2655" spans="1:8" x14ac:dyDescent="0.3">
      <c r="A2655" t="s">
        <v>55</v>
      </c>
      <c r="B2655" s="2" t="s">
        <v>2</v>
      </c>
      <c r="D2655" t="s">
        <v>80</v>
      </c>
      <c r="H2655">
        <v>69</v>
      </c>
    </row>
    <row r="2656" spans="1:8" x14ac:dyDescent="0.3">
      <c r="A2656" t="s">
        <v>55</v>
      </c>
      <c r="B2656" s="2" t="s">
        <v>4</v>
      </c>
      <c r="D2656" t="s">
        <v>80</v>
      </c>
      <c r="H2656">
        <v>8</v>
      </c>
    </row>
    <row r="2657" spans="1:8" x14ac:dyDescent="0.3">
      <c r="A2657" t="s">
        <v>55</v>
      </c>
      <c r="B2657" s="2" t="s">
        <v>2</v>
      </c>
      <c r="D2657" t="s">
        <v>76</v>
      </c>
      <c r="H2657">
        <v>8</v>
      </c>
    </row>
    <row r="2658" spans="1:8" x14ac:dyDescent="0.3">
      <c r="A2658" t="s">
        <v>55</v>
      </c>
      <c r="B2658" s="2" t="s">
        <v>2</v>
      </c>
      <c r="D2658" t="s">
        <v>14</v>
      </c>
      <c r="H2658">
        <v>5</v>
      </c>
    </row>
    <row r="2659" spans="1:8" x14ac:dyDescent="0.3">
      <c r="A2659" t="s">
        <v>55</v>
      </c>
      <c r="B2659" s="2" t="s">
        <v>4</v>
      </c>
      <c r="D2659" t="s">
        <v>14</v>
      </c>
      <c r="H2659">
        <v>3</v>
      </c>
    </row>
    <row r="2660" spans="1:8" x14ac:dyDescent="0.3">
      <c r="A2660" t="s">
        <v>55</v>
      </c>
      <c r="B2660" s="2" t="s">
        <v>2</v>
      </c>
      <c r="D2660" t="s">
        <v>78</v>
      </c>
      <c r="H2660">
        <f>128+28</f>
        <v>156</v>
      </c>
    </row>
    <row r="2661" spans="1:8" x14ac:dyDescent="0.3">
      <c r="A2661" t="s">
        <v>55</v>
      </c>
      <c r="B2661" s="2" t="s">
        <v>4</v>
      </c>
      <c r="D2661" t="s">
        <v>78</v>
      </c>
      <c r="H2661">
        <v>94</v>
      </c>
    </row>
    <row r="2662" spans="1:8" x14ac:dyDescent="0.3">
      <c r="A2662" t="s">
        <v>55</v>
      </c>
      <c r="B2662" s="2" t="s">
        <v>2</v>
      </c>
      <c r="E2662" t="s">
        <v>21</v>
      </c>
      <c r="H2662">
        <v>28</v>
      </c>
    </row>
    <row r="2663" spans="1:8" x14ac:dyDescent="0.3">
      <c r="A2663" t="s">
        <v>55</v>
      </c>
      <c r="B2663" s="2" t="s">
        <v>4</v>
      </c>
      <c r="E2663" t="s">
        <v>21</v>
      </c>
      <c r="H2663">
        <v>18</v>
      </c>
    </row>
    <row r="2664" spans="1:8" x14ac:dyDescent="0.3">
      <c r="A2664" t="s">
        <v>55</v>
      </c>
      <c r="B2664" s="2" t="s">
        <v>2</v>
      </c>
      <c r="E2664" t="s">
        <v>91</v>
      </c>
      <c r="H2664">
        <f>68+50</f>
        <v>118</v>
      </c>
    </row>
    <row r="2665" spans="1:8" x14ac:dyDescent="0.3">
      <c r="A2665" t="s">
        <v>55</v>
      </c>
      <c r="B2665" s="2" t="s">
        <v>4</v>
      </c>
      <c r="E2665" t="s">
        <v>91</v>
      </c>
      <c r="H2665">
        <v>32</v>
      </c>
    </row>
    <row r="2666" spans="1:8" x14ac:dyDescent="0.3">
      <c r="A2666" t="s">
        <v>55</v>
      </c>
      <c r="B2666" s="2" t="s">
        <v>2</v>
      </c>
      <c r="E2666" t="s">
        <v>90</v>
      </c>
      <c r="H2666">
        <v>50</v>
      </c>
    </row>
    <row r="2667" spans="1:8" x14ac:dyDescent="0.3">
      <c r="A2667" t="s">
        <v>55</v>
      </c>
      <c r="B2667" s="2" t="s">
        <v>4</v>
      </c>
      <c r="E2667" t="s">
        <v>90</v>
      </c>
      <c r="H2667">
        <v>14</v>
      </c>
    </row>
    <row r="2668" spans="1:8" x14ac:dyDescent="0.3">
      <c r="A2668" t="s">
        <v>55</v>
      </c>
      <c r="B2668" s="2" t="s">
        <v>2</v>
      </c>
      <c r="E2668" t="s">
        <v>89</v>
      </c>
      <c r="H2668">
        <v>64</v>
      </c>
    </row>
    <row r="2669" spans="1:8" x14ac:dyDescent="0.3">
      <c r="A2669" t="s">
        <v>55</v>
      </c>
      <c r="B2669" s="2" t="s">
        <v>4</v>
      </c>
      <c r="E2669" t="s">
        <v>89</v>
      </c>
      <c r="H2669">
        <v>17</v>
      </c>
    </row>
    <row r="2670" spans="1:8" x14ac:dyDescent="0.3">
      <c r="A2670" t="s">
        <v>55</v>
      </c>
      <c r="B2670" s="2" t="s">
        <v>2</v>
      </c>
      <c r="E2670" t="s">
        <v>60</v>
      </c>
      <c r="H2670">
        <v>3</v>
      </c>
    </row>
    <row r="2671" spans="1:8" x14ac:dyDescent="0.3">
      <c r="A2671" t="s">
        <v>55</v>
      </c>
      <c r="B2671" s="2" t="s">
        <v>4</v>
      </c>
      <c r="E2671" t="s">
        <v>60</v>
      </c>
      <c r="H2671">
        <v>1</v>
      </c>
    </row>
    <row r="2672" spans="1:8" x14ac:dyDescent="0.3">
      <c r="A2672" t="s">
        <v>55</v>
      </c>
      <c r="B2672" s="2" t="s">
        <v>2</v>
      </c>
      <c r="E2672" t="s">
        <v>61</v>
      </c>
      <c r="H2672">
        <v>35</v>
      </c>
    </row>
    <row r="2673" spans="1:8" x14ac:dyDescent="0.3">
      <c r="A2673" t="s">
        <v>55</v>
      </c>
      <c r="B2673" s="2" t="s">
        <v>4</v>
      </c>
      <c r="E2673" t="s">
        <v>61</v>
      </c>
      <c r="H2673">
        <v>19</v>
      </c>
    </row>
    <row r="2674" spans="1:8" x14ac:dyDescent="0.3">
      <c r="A2674" t="s">
        <v>55</v>
      </c>
      <c r="B2674" s="2" t="s">
        <v>2</v>
      </c>
      <c r="E2674" t="s">
        <v>62</v>
      </c>
      <c r="H2674">
        <v>59</v>
      </c>
    </row>
    <row r="2675" spans="1:8" x14ac:dyDescent="0.3">
      <c r="A2675" t="s">
        <v>55</v>
      </c>
      <c r="B2675" s="2" t="s">
        <v>4</v>
      </c>
      <c r="E2675" t="s">
        <v>62</v>
      </c>
      <c r="H2675">
        <v>22</v>
      </c>
    </row>
    <row r="2676" spans="1:8" x14ac:dyDescent="0.3">
      <c r="A2676" t="s">
        <v>55</v>
      </c>
      <c r="B2676" s="2" t="s">
        <v>56</v>
      </c>
      <c r="E2676" t="s">
        <v>62</v>
      </c>
      <c r="H2676">
        <v>1</v>
      </c>
    </row>
    <row r="2677" spans="1:8" x14ac:dyDescent="0.3">
      <c r="A2677" t="s">
        <v>55</v>
      </c>
      <c r="B2677" s="2" t="s">
        <v>2</v>
      </c>
      <c r="F2677" t="s">
        <v>64</v>
      </c>
      <c r="H2677">
        <v>96</v>
      </c>
    </row>
    <row r="2678" spans="1:8" x14ac:dyDescent="0.3">
      <c r="A2678" t="s">
        <v>55</v>
      </c>
      <c r="B2678" s="2" t="s">
        <v>4</v>
      </c>
      <c r="F2678" t="s">
        <v>64</v>
      </c>
      <c r="H2678">
        <v>29</v>
      </c>
    </row>
    <row r="2679" spans="1:8" x14ac:dyDescent="0.3">
      <c r="A2679" t="s">
        <v>55</v>
      </c>
      <c r="B2679" s="2" t="s">
        <v>56</v>
      </c>
      <c r="F2679" t="s">
        <v>64</v>
      </c>
      <c r="H2679">
        <v>1</v>
      </c>
    </row>
    <row r="2680" spans="1:8" x14ac:dyDescent="0.3">
      <c r="A2680" t="s">
        <v>55</v>
      </c>
      <c r="B2680" s="2" t="s">
        <v>2</v>
      </c>
      <c r="F2680" t="s">
        <v>18</v>
      </c>
      <c r="H2680">
        <v>217</v>
      </c>
    </row>
    <row r="2681" spans="1:8" x14ac:dyDescent="0.3">
      <c r="A2681" t="s">
        <v>55</v>
      </c>
      <c r="B2681" s="2" t="s">
        <v>4</v>
      </c>
      <c r="F2681" t="s">
        <v>18</v>
      </c>
      <c r="H2681">
        <v>81</v>
      </c>
    </row>
    <row r="2682" spans="1:8" x14ac:dyDescent="0.3">
      <c r="A2682" t="s">
        <v>55</v>
      </c>
      <c r="B2682" s="2" t="s">
        <v>2</v>
      </c>
      <c r="F2682" t="s">
        <v>19</v>
      </c>
      <c r="H2682">
        <v>2</v>
      </c>
    </row>
    <row r="2683" spans="1:8" x14ac:dyDescent="0.3">
      <c r="A2683" t="s">
        <v>55</v>
      </c>
      <c r="B2683" s="2" t="s">
        <v>4</v>
      </c>
      <c r="F2683" t="s">
        <v>19</v>
      </c>
      <c r="H2683">
        <v>3</v>
      </c>
    </row>
    <row r="2684" spans="1:8" x14ac:dyDescent="0.3">
      <c r="A2684" t="s">
        <v>55</v>
      </c>
      <c r="B2684" s="2" t="s">
        <v>2</v>
      </c>
      <c r="F2684" t="s">
        <v>20</v>
      </c>
      <c r="H2684">
        <v>1</v>
      </c>
    </row>
    <row r="2685" spans="1:8" x14ac:dyDescent="0.3">
      <c r="A2685" t="s">
        <v>55</v>
      </c>
      <c r="B2685" s="2" t="s">
        <v>2</v>
      </c>
      <c r="F2685" t="s">
        <v>66</v>
      </c>
      <c r="H2685">
        <v>41</v>
      </c>
    </row>
    <row r="2686" spans="1:8" x14ac:dyDescent="0.3">
      <c r="A2686" t="s">
        <v>55</v>
      </c>
      <c r="B2686" s="2" t="s">
        <v>4</v>
      </c>
      <c r="F2686" t="s">
        <v>66</v>
      </c>
      <c r="H2686">
        <v>10</v>
      </c>
    </row>
    <row r="2687" spans="1:8" x14ac:dyDescent="0.3">
      <c r="A2687" t="s">
        <v>55</v>
      </c>
      <c r="B2687" s="2" t="s">
        <v>2</v>
      </c>
      <c r="G2687" t="s">
        <v>83</v>
      </c>
      <c r="H2687">
        <v>30</v>
      </c>
    </row>
    <row r="2688" spans="1:8" x14ac:dyDescent="0.3">
      <c r="A2688" t="s">
        <v>55</v>
      </c>
      <c r="B2688" s="2" t="s">
        <v>4</v>
      </c>
      <c r="G2688" t="s">
        <v>83</v>
      </c>
      <c r="H2688">
        <v>2</v>
      </c>
    </row>
    <row r="2689" spans="1:8" x14ac:dyDescent="0.3">
      <c r="A2689" t="s">
        <v>55</v>
      </c>
      <c r="B2689" s="2" t="s">
        <v>2</v>
      </c>
      <c r="G2689" t="s">
        <v>69</v>
      </c>
      <c r="H2689">
        <v>4</v>
      </c>
    </row>
    <row r="2690" spans="1:8" x14ac:dyDescent="0.3">
      <c r="A2690" t="s">
        <v>55</v>
      </c>
      <c r="B2690" s="2" t="s">
        <v>4</v>
      </c>
      <c r="G2690" t="s">
        <v>69</v>
      </c>
      <c r="H2690">
        <v>10</v>
      </c>
    </row>
    <row r="2691" spans="1:8" x14ac:dyDescent="0.3">
      <c r="A2691" t="s">
        <v>55</v>
      </c>
      <c r="B2691" s="2" t="s">
        <v>2</v>
      </c>
      <c r="G2691" t="s">
        <v>70</v>
      </c>
      <c r="H2691">
        <v>96</v>
      </c>
    </row>
    <row r="2692" spans="1:8" x14ac:dyDescent="0.3">
      <c r="A2692" t="s">
        <v>55</v>
      </c>
      <c r="B2692" s="2" t="s">
        <v>4</v>
      </c>
      <c r="G2692" t="s">
        <v>70</v>
      </c>
      <c r="H2692">
        <v>12</v>
      </c>
    </row>
    <row r="2693" spans="1:8" x14ac:dyDescent="0.3">
      <c r="A2693" t="s">
        <v>55</v>
      </c>
      <c r="B2693" s="2" t="s">
        <v>2</v>
      </c>
      <c r="G2693" t="s">
        <v>84</v>
      </c>
      <c r="H2693">
        <v>26</v>
      </c>
    </row>
    <row r="2694" spans="1:8" x14ac:dyDescent="0.3">
      <c r="A2694" t="s">
        <v>55</v>
      </c>
      <c r="B2694" s="2" t="s">
        <v>4</v>
      </c>
      <c r="G2694" t="s">
        <v>84</v>
      </c>
      <c r="H2694">
        <v>5</v>
      </c>
    </row>
    <row r="2695" spans="1:8" x14ac:dyDescent="0.3">
      <c r="A2695" t="s">
        <v>55</v>
      </c>
      <c r="B2695" s="2" t="s">
        <v>2</v>
      </c>
      <c r="G2695" t="s">
        <v>71</v>
      </c>
      <c r="H2695">
        <v>45</v>
      </c>
    </row>
    <row r="2696" spans="1:8" x14ac:dyDescent="0.3">
      <c r="A2696" t="s">
        <v>55</v>
      </c>
      <c r="B2696" s="2" t="s">
        <v>2</v>
      </c>
      <c r="G2696" t="s">
        <v>72</v>
      </c>
      <c r="H2696">
        <v>156</v>
      </c>
    </row>
    <row r="2697" spans="1:8" x14ac:dyDescent="0.3">
      <c r="A2697" t="s">
        <v>55</v>
      </c>
      <c r="B2697" s="2" t="s">
        <v>4</v>
      </c>
      <c r="G2697" t="s">
        <v>72</v>
      </c>
      <c r="H2697">
        <v>94</v>
      </c>
    </row>
    <row r="2698" spans="1:8" x14ac:dyDescent="0.3">
      <c r="A2698" t="s">
        <v>55</v>
      </c>
      <c r="B2698" s="2" t="s">
        <v>56</v>
      </c>
      <c r="G2698" t="s">
        <v>72</v>
      </c>
      <c r="H2698">
        <v>1</v>
      </c>
    </row>
    <row r="2699" spans="1:8" x14ac:dyDescent="0.3">
      <c r="A2699" t="s">
        <v>96</v>
      </c>
      <c r="B2699" s="2" t="s">
        <v>2</v>
      </c>
      <c r="C2699" s="4" t="s">
        <v>13</v>
      </c>
      <c r="H2699" s="3">
        <v>3</v>
      </c>
    </row>
    <row r="2700" spans="1:8" x14ac:dyDescent="0.3">
      <c r="A2700" t="s">
        <v>96</v>
      </c>
      <c r="B2700" s="2" t="s">
        <v>2</v>
      </c>
      <c r="C2700" s="4" t="s">
        <v>7</v>
      </c>
      <c r="H2700" s="3">
        <v>49</v>
      </c>
    </row>
    <row r="2701" spans="1:8" x14ac:dyDescent="0.3">
      <c r="A2701" t="s">
        <v>96</v>
      </c>
      <c r="B2701" s="2" t="s">
        <v>4</v>
      </c>
      <c r="C2701" s="4" t="s">
        <v>7</v>
      </c>
      <c r="H2701" s="3">
        <v>21</v>
      </c>
    </row>
    <row r="2702" spans="1:8" x14ac:dyDescent="0.3">
      <c r="A2702" t="s">
        <v>96</v>
      </c>
      <c r="B2702" s="2" t="s">
        <v>2</v>
      </c>
      <c r="C2702" s="4" t="s">
        <v>103</v>
      </c>
      <c r="H2702" s="3">
        <v>11</v>
      </c>
    </row>
    <row r="2703" spans="1:8" x14ac:dyDescent="0.3">
      <c r="A2703" t="s">
        <v>96</v>
      </c>
      <c r="B2703" s="2" t="s">
        <v>4</v>
      </c>
      <c r="C2703" s="4" t="s">
        <v>103</v>
      </c>
      <c r="H2703" s="3">
        <v>10</v>
      </c>
    </row>
    <row r="2704" spans="1:8" x14ac:dyDescent="0.3">
      <c r="A2704" t="s">
        <v>96</v>
      </c>
      <c r="B2704" s="2" t="s">
        <v>4</v>
      </c>
      <c r="C2704" s="4" t="s">
        <v>79</v>
      </c>
      <c r="H2704" s="3">
        <v>2</v>
      </c>
    </row>
    <row r="2705" spans="1:8" x14ac:dyDescent="0.3">
      <c r="A2705" t="s">
        <v>96</v>
      </c>
      <c r="B2705" s="2" t="s">
        <v>2</v>
      </c>
      <c r="C2705" s="4" t="s">
        <v>79</v>
      </c>
      <c r="H2705" s="3">
        <v>6</v>
      </c>
    </row>
    <row r="2706" spans="1:8" x14ac:dyDescent="0.3">
      <c r="A2706" t="s">
        <v>96</v>
      </c>
      <c r="B2706" s="2" t="s">
        <v>4</v>
      </c>
      <c r="D2706" t="s">
        <v>81</v>
      </c>
      <c r="H2706">
        <v>3</v>
      </c>
    </row>
    <row r="2707" spans="1:8" x14ac:dyDescent="0.3">
      <c r="A2707" t="s">
        <v>96</v>
      </c>
      <c r="B2707" s="2" t="s">
        <v>2</v>
      </c>
      <c r="D2707" t="s">
        <v>74</v>
      </c>
      <c r="H2707">
        <v>5</v>
      </c>
    </row>
    <row r="2708" spans="1:8" x14ac:dyDescent="0.3">
      <c r="A2708" t="s">
        <v>96</v>
      </c>
      <c r="B2708" s="2" t="s">
        <v>4</v>
      </c>
      <c r="D2708" t="s">
        <v>74</v>
      </c>
      <c r="H2708">
        <v>5</v>
      </c>
    </row>
    <row r="2709" spans="1:8" x14ac:dyDescent="0.3">
      <c r="A2709" t="s">
        <v>96</v>
      </c>
      <c r="B2709" s="2" t="s">
        <v>2</v>
      </c>
      <c r="D2709" t="s">
        <v>11</v>
      </c>
      <c r="H2709">
        <v>5</v>
      </c>
    </row>
    <row r="2710" spans="1:8" x14ac:dyDescent="0.3">
      <c r="A2710" t="s">
        <v>96</v>
      </c>
      <c r="B2710" s="2" t="s">
        <v>4</v>
      </c>
      <c r="D2710" t="s">
        <v>11</v>
      </c>
      <c r="H2710">
        <v>9</v>
      </c>
    </row>
    <row r="2711" spans="1:8" x14ac:dyDescent="0.3">
      <c r="A2711" t="s">
        <v>96</v>
      </c>
      <c r="B2711" s="2" t="s">
        <v>4</v>
      </c>
      <c r="D2711" t="s">
        <v>80</v>
      </c>
      <c r="H2711">
        <v>7</v>
      </c>
    </row>
    <row r="2712" spans="1:8" x14ac:dyDescent="0.3">
      <c r="A2712" t="s">
        <v>96</v>
      </c>
      <c r="B2712" s="2" t="s">
        <v>2</v>
      </c>
      <c r="D2712" t="s">
        <v>76</v>
      </c>
      <c r="H2712">
        <v>6</v>
      </c>
    </row>
    <row r="2713" spans="1:8" x14ac:dyDescent="0.3">
      <c r="A2713" t="s">
        <v>96</v>
      </c>
      <c r="B2713" s="2" t="s">
        <v>2</v>
      </c>
      <c r="D2713" t="s">
        <v>10</v>
      </c>
      <c r="H2713">
        <v>8</v>
      </c>
    </row>
    <row r="2714" spans="1:8" x14ac:dyDescent="0.3">
      <c r="A2714" t="s">
        <v>96</v>
      </c>
      <c r="B2714" s="2" t="s">
        <v>2</v>
      </c>
      <c r="D2714" t="s">
        <v>14</v>
      </c>
      <c r="H2714">
        <v>17</v>
      </c>
    </row>
    <row r="2715" spans="1:8" x14ac:dyDescent="0.3">
      <c r="A2715" t="s">
        <v>96</v>
      </c>
      <c r="B2715" s="2" t="s">
        <v>4</v>
      </c>
      <c r="D2715" t="s">
        <v>14</v>
      </c>
      <c r="H2715">
        <v>15</v>
      </c>
    </row>
    <row r="2716" spans="1:8" x14ac:dyDescent="0.3">
      <c r="A2716" t="s">
        <v>96</v>
      </c>
      <c r="B2716" s="2" t="s">
        <v>2</v>
      </c>
      <c r="D2716" t="s">
        <v>17</v>
      </c>
      <c r="H2716">
        <v>5</v>
      </c>
    </row>
    <row r="2717" spans="1:8" x14ac:dyDescent="0.3">
      <c r="A2717" t="s">
        <v>96</v>
      </c>
      <c r="B2717" s="2" t="s">
        <v>2</v>
      </c>
      <c r="D2717" t="s">
        <v>16</v>
      </c>
      <c r="H2717">
        <v>7</v>
      </c>
    </row>
    <row r="2718" spans="1:8" x14ac:dyDescent="0.3">
      <c r="A2718" t="s">
        <v>96</v>
      </c>
      <c r="B2718" s="2" t="s">
        <v>2</v>
      </c>
      <c r="D2718" t="s">
        <v>78</v>
      </c>
      <c r="H2718">
        <v>6</v>
      </c>
    </row>
    <row r="2719" spans="1:8" x14ac:dyDescent="0.3">
      <c r="A2719" t="s">
        <v>96</v>
      </c>
      <c r="B2719" s="2" t="s">
        <v>4</v>
      </c>
      <c r="D2719" t="s">
        <v>78</v>
      </c>
      <c r="H2719">
        <v>4</v>
      </c>
    </row>
    <row r="2720" spans="1:8" x14ac:dyDescent="0.3">
      <c r="A2720" t="s">
        <v>96</v>
      </c>
      <c r="B2720" s="2" t="s">
        <v>2</v>
      </c>
      <c r="E2720" t="s">
        <v>21</v>
      </c>
      <c r="H2720">
        <v>9</v>
      </c>
    </row>
    <row r="2721" spans="1:8" x14ac:dyDescent="0.3">
      <c r="A2721" t="s">
        <v>96</v>
      </c>
      <c r="B2721" s="2" t="s">
        <v>4</v>
      </c>
      <c r="E2721" t="s">
        <v>21</v>
      </c>
      <c r="H2721">
        <v>5</v>
      </c>
    </row>
    <row r="2722" spans="1:8" x14ac:dyDescent="0.3">
      <c r="A2722" t="s">
        <v>96</v>
      </c>
      <c r="B2722" s="2" t="s">
        <v>2</v>
      </c>
      <c r="E2722" t="s">
        <v>91</v>
      </c>
      <c r="H2722">
        <v>22</v>
      </c>
    </row>
    <row r="2723" spans="1:8" x14ac:dyDescent="0.3">
      <c r="A2723" t="s">
        <v>96</v>
      </c>
      <c r="B2723" s="2" t="s">
        <v>4</v>
      </c>
      <c r="E2723" t="s">
        <v>91</v>
      </c>
      <c r="H2723">
        <v>16</v>
      </c>
    </row>
    <row r="2724" spans="1:8" x14ac:dyDescent="0.3">
      <c r="A2724" t="s">
        <v>96</v>
      </c>
      <c r="B2724" s="2" t="s">
        <v>2</v>
      </c>
      <c r="E2724" t="s">
        <v>90</v>
      </c>
      <c r="H2724">
        <v>29</v>
      </c>
    </row>
    <row r="2725" spans="1:8" x14ac:dyDescent="0.3">
      <c r="A2725" t="s">
        <v>96</v>
      </c>
      <c r="B2725" s="2" t="s">
        <v>4</v>
      </c>
      <c r="E2725" t="s">
        <v>90</v>
      </c>
      <c r="H2725">
        <v>7</v>
      </c>
    </row>
    <row r="2726" spans="1:8" x14ac:dyDescent="0.3">
      <c r="A2726" t="s">
        <v>96</v>
      </c>
      <c r="B2726" s="2" t="s">
        <v>2</v>
      </c>
      <c r="E2726" t="s">
        <v>89</v>
      </c>
      <c r="H2726">
        <v>3</v>
      </c>
    </row>
    <row r="2727" spans="1:8" x14ac:dyDescent="0.3">
      <c r="A2727" t="s">
        <v>96</v>
      </c>
      <c r="B2727" s="2" t="s">
        <v>4</v>
      </c>
      <c r="E2727" t="s">
        <v>89</v>
      </c>
      <c r="H2727">
        <v>7</v>
      </c>
    </row>
    <row r="2728" spans="1:8" x14ac:dyDescent="0.3">
      <c r="A2728" t="s">
        <v>96</v>
      </c>
      <c r="B2728" s="2" t="s">
        <v>2</v>
      </c>
      <c r="E2728" t="s">
        <v>60</v>
      </c>
      <c r="H2728">
        <v>3</v>
      </c>
    </row>
    <row r="2729" spans="1:8" x14ac:dyDescent="0.3">
      <c r="A2729" t="s">
        <v>96</v>
      </c>
      <c r="B2729" s="2" t="s">
        <v>4</v>
      </c>
      <c r="E2729" t="s">
        <v>61</v>
      </c>
      <c r="H2729">
        <v>1</v>
      </c>
    </row>
    <row r="2730" spans="1:8" x14ac:dyDescent="0.3">
      <c r="A2730" t="s">
        <v>96</v>
      </c>
      <c r="B2730" s="2" t="s">
        <v>2</v>
      </c>
      <c r="F2730" t="s">
        <v>64</v>
      </c>
      <c r="H2730">
        <v>28</v>
      </c>
    </row>
    <row r="2731" spans="1:8" x14ac:dyDescent="0.3">
      <c r="A2731" t="s">
        <v>96</v>
      </c>
      <c r="B2731" s="2" t="s">
        <v>4</v>
      </c>
      <c r="F2731" t="s">
        <v>64</v>
      </c>
      <c r="H2731">
        <v>15</v>
      </c>
    </row>
    <row r="2732" spans="1:8" x14ac:dyDescent="0.3">
      <c r="A2732" t="s">
        <v>96</v>
      </c>
      <c r="B2732" s="2" t="s">
        <v>2</v>
      </c>
      <c r="F2732" t="s">
        <v>18</v>
      </c>
      <c r="H2732">
        <v>44</v>
      </c>
    </row>
    <row r="2733" spans="1:8" x14ac:dyDescent="0.3">
      <c r="A2733" t="s">
        <v>96</v>
      </c>
      <c r="B2733" s="2" t="s">
        <v>4</v>
      </c>
      <c r="F2733" t="s">
        <v>18</v>
      </c>
      <c r="H2733">
        <v>13</v>
      </c>
    </row>
    <row r="2734" spans="1:8" x14ac:dyDescent="0.3">
      <c r="A2734" t="s">
        <v>96</v>
      </c>
      <c r="B2734" s="2" t="s">
        <v>4</v>
      </c>
      <c r="F2734" t="s">
        <v>19</v>
      </c>
      <c r="H2734">
        <v>1</v>
      </c>
    </row>
    <row r="2735" spans="1:8" x14ac:dyDescent="0.3">
      <c r="A2735" t="s">
        <v>96</v>
      </c>
      <c r="B2735" s="2" t="s">
        <v>2</v>
      </c>
      <c r="F2735" t="s">
        <v>65</v>
      </c>
      <c r="H2735">
        <v>1</v>
      </c>
    </row>
    <row r="2736" spans="1:8" x14ac:dyDescent="0.3">
      <c r="A2736" t="s">
        <v>96</v>
      </c>
      <c r="B2736" s="2" t="s">
        <v>4</v>
      </c>
      <c r="G2736" t="s">
        <v>68</v>
      </c>
      <c r="H2736">
        <v>12</v>
      </c>
    </row>
    <row r="2737" spans="1:8" x14ac:dyDescent="0.3">
      <c r="A2737" t="s">
        <v>96</v>
      </c>
      <c r="B2737" s="2" t="s">
        <v>2</v>
      </c>
      <c r="G2737" t="s">
        <v>82</v>
      </c>
      <c r="H2737">
        <v>1</v>
      </c>
    </row>
    <row r="2738" spans="1:8" x14ac:dyDescent="0.3">
      <c r="A2738" t="s">
        <v>96</v>
      </c>
      <c r="B2738" s="2" t="s">
        <v>2</v>
      </c>
      <c r="G2738" t="s">
        <v>83</v>
      </c>
      <c r="H2738">
        <v>5</v>
      </c>
    </row>
    <row r="2739" spans="1:8" x14ac:dyDescent="0.3">
      <c r="A2739" t="s">
        <v>96</v>
      </c>
      <c r="B2739" s="2" t="s">
        <v>4</v>
      </c>
      <c r="G2739" t="s">
        <v>83</v>
      </c>
      <c r="H2739">
        <v>1</v>
      </c>
    </row>
    <row r="2740" spans="1:8" x14ac:dyDescent="0.3">
      <c r="A2740" t="s">
        <v>96</v>
      </c>
      <c r="B2740" s="2" t="s">
        <v>2</v>
      </c>
      <c r="G2740" t="s">
        <v>69</v>
      </c>
      <c r="H2740">
        <v>9</v>
      </c>
    </row>
    <row r="2741" spans="1:8" x14ac:dyDescent="0.3">
      <c r="A2741" t="s">
        <v>96</v>
      </c>
      <c r="B2741" s="2" t="s">
        <v>4</v>
      </c>
      <c r="G2741" t="s">
        <v>69</v>
      </c>
      <c r="H2741">
        <v>10</v>
      </c>
    </row>
    <row r="2742" spans="1:8" x14ac:dyDescent="0.3">
      <c r="A2742" t="s">
        <v>96</v>
      </c>
      <c r="B2742" s="2" t="s">
        <v>2</v>
      </c>
      <c r="G2742" t="s">
        <v>70</v>
      </c>
      <c r="H2742">
        <v>11</v>
      </c>
    </row>
    <row r="2743" spans="1:8" x14ac:dyDescent="0.3">
      <c r="A2743" t="s">
        <v>96</v>
      </c>
      <c r="B2743" s="2" t="s">
        <v>4</v>
      </c>
      <c r="G2743" t="s">
        <v>70</v>
      </c>
      <c r="H2743">
        <v>1</v>
      </c>
    </row>
    <row r="2744" spans="1:8" x14ac:dyDescent="0.3">
      <c r="A2744" t="s">
        <v>96</v>
      </c>
      <c r="B2744" s="2" t="s">
        <v>2</v>
      </c>
      <c r="G2744" t="s">
        <v>84</v>
      </c>
      <c r="H2744">
        <v>34</v>
      </c>
    </row>
    <row r="2745" spans="1:8" x14ac:dyDescent="0.3">
      <c r="A2745" t="s">
        <v>96</v>
      </c>
      <c r="B2745" s="2" t="s">
        <v>4</v>
      </c>
      <c r="G2745" t="s">
        <v>84</v>
      </c>
      <c r="H2745">
        <v>1</v>
      </c>
    </row>
    <row r="2746" spans="1:8" x14ac:dyDescent="0.3">
      <c r="A2746" t="s">
        <v>96</v>
      </c>
      <c r="B2746" s="2" t="s">
        <v>2</v>
      </c>
      <c r="G2746" t="s">
        <v>85</v>
      </c>
      <c r="H2746">
        <v>7</v>
      </c>
    </row>
    <row r="2747" spans="1:8" x14ac:dyDescent="0.3">
      <c r="A2747" t="s">
        <v>96</v>
      </c>
      <c r="B2747" s="2" t="s">
        <v>4</v>
      </c>
      <c r="G2747" t="s">
        <v>85</v>
      </c>
      <c r="H2747">
        <v>2</v>
      </c>
    </row>
    <row r="2748" spans="1:8" x14ac:dyDescent="0.3">
      <c r="A2748" t="s">
        <v>96</v>
      </c>
      <c r="B2748" s="2" t="s">
        <v>2</v>
      </c>
      <c r="G2748" t="s">
        <v>71</v>
      </c>
      <c r="H2748">
        <v>4</v>
      </c>
    </row>
    <row r="2749" spans="1:8" x14ac:dyDescent="0.3">
      <c r="A2749" t="s">
        <v>96</v>
      </c>
      <c r="B2749" s="2" t="s">
        <v>4</v>
      </c>
      <c r="G2749" t="s">
        <v>71</v>
      </c>
      <c r="H2749">
        <v>1</v>
      </c>
    </row>
    <row r="2750" spans="1:8" x14ac:dyDescent="0.3">
      <c r="A2750" t="s">
        <v>96</v>
      </c>
      <c r="B2750" s="2" t="s">
        <v>2</v>
      </c>
      <c r="G2750" t="s">
        <v>72</v>
      </c>
      <c r="H2750">
        <v>1</v>
      </c>
    </row>
    <row r="2751" spans="1:8" x14ac:dyDescent="0.3">
      <c r="A2751" t="s">
        <v>96</v>
      </c>
      <c r="B2751" s="2" t="s">
        <v>4</v>
      </c>
      <c r="G2751" t="s">
        <v>72</v>
      </c>
      <c r="H2751">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064C9-176D-4CD6-BE93-3F24BF4B23C1}">
  <sheetPr codeName="Sheet4"/>
  <dimension ref="A1:L191"/>
  <sheetViews>
    <sheetView zoomScale="94" zoomScaleNormal="94" workbookViewId="0">
      <selection activeCell="C203" sqref="C203"/>
    </sheetView>
  </sheetViews>
  <sheetFormatPr defaultRowHeight="14.4" x14ac:dyDescent="0.3"/>
  <cols>
    <col min="1" max="1" width="28" style="3" customWidth="1"/>
    <col min="2" max="2" width="12.21875" style="3" customWidth="1"/>
    <col min="3" max="3" width="19.33203125" style="3" customWidth="1"/>
    <col min="4" max="4" width="23.6640625" style="3" customWidth="1"/>
    <col min="5" max="5" width="14.21875" style="2" customWidth="1"/>
    <col min="6" max="6" width="9.6640625" style="1" customWidth="1"/>
    <col min="7" max="7" width="13.44140625" style="13" bestFit="1" customWidth="1"/>
    <col min="8" max="8" width="5.77734375" bestFit="1" customWidth="1"/>
  </cols>
  <sheetData>
    <row r="1" spans="1:12" s="8" customFormat="1" ht="22.8" customHeight="1" x14ac:dyDescent="0.3">
      <c r="A1" t="s">
        <v>93</v>
      </c>
      <c r="B1" t="s">
        <v>88</v>
      </c>
      <c r="C1" t="s">
        <v>106</v>
      </c>
      <c r="D1" t="s">
        <v>115</v>
      </c>
      <c r="E1" s="3" t="s">
        <v>101</v>
      </c>
      <c r="F1" s="3" t="s">
        <v>102</v>
      </c>
      <c r="G1"/>
      <c r="H1"/>
    </row>
    <row r="2" spans="1:12" hidden="1" x14ac:dyDescent="0.3">
      <c r="A2" t="s">
        <v>50</v>
      </c>
      <c r="B2">
        <v>2018</v>
      </c>
      <c r="C2">
        <v>164</v>
      </c>
      <c r="D2" s="9">
        <v>41</v>
      </c>
      <c r="E2" s="10">
        <v>0.04</v>
      </c>
      <c r="F2" s="11">
        <v>0.96</v>
      </c>
      <c r="G2"/>
      <c r="L2" s="30"/>
    </row>
    <row r="3" spans="1:12" ht="14.4" hidden="1" customHeight="1" x14ac:dyDescent="0.3">
      <c r="A3" t="s">
        <v>50</v>
      </c>
      <c r="B3">
        <v>2019</v>
      </c>
      <c r="C3">
        <v>181</v>
      </c>
      <c r="D3" s="9">
        <v>45.5</v>
      </c>
      <c r="E3" s="10">
        <v>0.04</v>
      </c>
      <c r="F3" s="11">
        <v>0.96</v>
      </c>
      <c r="L3" s="30"/>
    </row>
    <row r="4" spans="1:12" ht="14.4" hidden="1" customHeight="1" x14ac:dyDescent="0.3">
      <c r="A4" t="s">
        <v>50</v>
      </c>
      <c r="B4">
        <v>2020</v>
      </c>
      <c r="C4">
        <v>180</v>
      </c>
      <c r="D4" s="9">
        <v>45</v>
      </c>
      <c r="E4" s="10">
        <v>0.04</v>
      </c>
      <c r="F4" s="11">
        <v>0.96</v>
      </c>
      <c r="G4"/>
      <c r="L4" s="30"/>
    </row>
    <row r="5" spans="1:12" ht="14.4" hidden="1" customHeight="1" x14ac:dyDescent="0.3">
      <c r="A5" t="s">
        <v>50</v>
      </c>
      <c r="B5">
        <v>2021</v>
      </c>
      <c r="C5">
        <v>159</v>
      </c>
      <c r="D5" s="9">
        <v>39.700000000000003</v>
      </c>
      <c r="E5" s="10">
        <v>0.04</v>
      </c>
      <c r="F5" s="11">
        <v>0.96</v>
      </c>
      <c r="G5"/>
      <c r="L5" s="30"/>
    </row>
    <row r="6" spans="1:12" hidden="1" x14ac:dyDescent="0.3">
      <c r="A6" t="s">
        <v>50</v>
      </c>
      <c r="B6">
        <v>2022</v>
      </c>
      <c r="C6">
        <v>171</v>
      </c>
      <c r="D6" s="9">
        <v>42.8</v>
      </c>
      <c r="E6" s="10">
        <v>0.04</v>
      </c>
      <c r="F6" s="11">
        <v>0.96</v>
      </c>
      <c r="G6"/>
      <c r="L6" s="30"/>
    </row>
    <row r="7" spans="1:12" hidden="1" x14ac:dyDescent="0.3">
      <c r="A7" t="s">
        <v>22</v>
      </c>
      <c r="B7">
        <v>2018</v>
      </c>
      <c r="C7">
        <v>5319</v>
      </c>
      <c r="D7" s="9">
        <v>10.166284403669724</v>
      </c>
      <c r="E7" s="10">
        <v>0.65252115059221671</v>
      </c>
      <c r="F7" s="11">
        <f t="shared" ref="F7:F16" si="0">1-E7</f>
        <v>0.34747884940778329</v>
      </c>
      <c r="G7"/>
      <c r="L7" s="30"/>
    </row>
    <row r="8" spans="1:12" ht="14.4" hidden="1" customHeight="1" x14ac:dyDescent="0.3">
      <c r="A8" t="s">
        <v>22</v>
      </c>
      <c r="B8">
        <v>2019</v>
      </c>
      <c r="C8">
        <v>6465</v>
      </c>
      <c r="D8" s="9">
        <v>12.4</v>
      </c>
      <c r="E8" s="10">
        <v>0.65252115059221671</v>
      </c>
      <c r="F8" s="11">
        <f>1-E8</f>
        <v>0.34747884940778329</v>
      </c>
      <c r="G8"/>
      <c r="L8" s="30"/>
    </row>
    <row r="9" spans="1:12" ht="14.4" hidden="1" customHeight="1" x14ac:dyDescent="0.3">
      <c r="A9" t="s">
        <v>22</v>
      </c>
      <c r="B9">
        <v>2020</v>
      </c>
      <c r="C9">
        <v>7043</v>
      </c>
      <c r="D9" s="9">
        <v>13.4</v>
      </c>
      <c r="E9" s="10">
        <v>0.65252115059221671</v>
      </c>
      <c r="F9" s="11">
        <f>1-E9</f>
        <v>0.34747884940778329</v>
      </c>
      <c r="G9"/>
      <c r="L9" s="30"/>
    </row>
    <row r="10" spans="1:12" ht="14.4" hidden="1" customHeight="1" x14ac:dyDescent="0.3">
      <c r="A10" t="s">
        <v>22</v>
      </c>
      <c r="B10">
        <v>2021</v>
      </c>
      <c r="C10">
        <v>8067</v>
      </c>
      <c r="D10" s="9">
        <v>15.3</v>
      </c>
      <c r="E10" s="10">
        <v>0.65252115059221671</v>
      </c>
      <c r="F10" s="11">
        <f>1-E10</f>
        <v>0.34747884940778329</v>
      </c>
      <c r="G10"/>
      <c r="L10" s="30"/>
    </row>
    <row r="11" spans="1:12" hidden="1" x14ac:dyDescent="0.3">
      <c r="A11" t="s">
        <v>22</v>
      </c>
      <c r="B11">
        <v>2022</v>
      </c>
      <c r="C11">
        <v>8908</v>
      </c>
      <c r="D11" s="9">
        <v>16.8</v>
      </c>
      <c r="E11" s="10">
        <v>0.65252115059221671</v>
      </c>
      <c r="F11" s="11">
        <f>1-E11</f>
        <v>0.34747884940778329</v>
      </c>
      <c r="G11"/>
      <c r="L11" s="30"/>
    </row>
    <row r="12" spans="1:12" ht="14.4" hidden="1" customHeight="1" x14ac:dyDescent="0.3">
      <c r="A12" t="s">
        <v>23</v>
      </c>
      <c r="B12">
        <v>2018</v>
      </c>
      <c r="C12">
        <v>132</v>
      </c>
      <c r="D12" s="9">
        <v>8.741721854304636</v>
      </c>
      <c r="E12" s="10">
        <v>9.8181818181818106E-2</v>
      </c>
      <c r="F12" s="11">
        <f t="shared" si="0"/>
        <v>0.90181818181818185</v>
      </c>
      <c r="G12"/>
      <c r="L12" s="30"/>
    </row>
    <row r="13" spans="1:12" ht="14.4" hidden="1" customHeight="1" x14ac:dyDescent="0.3">
      <c r="A13" t="s">
        <v>23</v>
      </c>
      <c r="B13">
        <v>2019</v>
      </c>
      <c r="C13">
        <v>112</v>
      </c>
      <c r="D13" s="9">
        <v>7.4</v>
      </c>
      <c r="E13" s="10">
        <v>9.8181818181818106E-2</v>
      </c>
      <c r="F13" s="11">
        <f t="shared" si="0"/>
        <v>0.90181818181818185</v>
      </c>
      <c r="G13"/>
      <c r="L13" s="30"/>
    </row>
    <row r="14" spans="1:12" ht="14.4" hidden="1" customHeight="1" x14ac:dyDescent="0.3">
      <c r="A14" t="s">
        <v>23</v>
      </c>
      <c r="B14">
        <v>2020</v>
      </c>
      <c r="C14">
        <v>160</v>
      </c>
      <c r="D14" s="9">
        <v>10.5</v>
      </c>
      <c r="E14" s="10">
        <v>9.8181818181818106E-2</v>
      </c>
      <c r="F14" s="11">
        <f t="shared" si="0"/>
        <v>0.90181818181818185</v>
      </c>
      <c r="G14"/>
      <c r="L14" s="30"/>
    </row>
    <row r="15" spans="1:12" ht="14.4" hidden="1" customHeight="1" x14ac:dyDescent="0.3">
      <c r="A15" t="s">
        <v>23</v>
      </c>
      <c r="B15">
        <v>2021</v>
      </c>
      <c r="C15">
        <v>160</v>
      </c>
      <c r="D15" s="9">
        <v>10.4</v>
      </c>
      <c r="E15" s="10">
        <v>9.8181818181818106E-2</v>
      </c>
      <c r="F15" s="11">
        <f t="shared" si="0"/>
        <v>0.90181818181818185</v>
      </c>
      <c r="G15"/>
      <c r="L15" s="30"/>
    </row>
    <row r="16" spans="1:12" ht="14.4" hidden="1" customHeight="1" x14ac:dyDescent="0.3">
      <c r="A16" t="s">
        <v>23</v>
      </c>
      <c r="B16">
        <v>2022</v>
      </c>
      <c r="C16">
        <v>149</v>
      </c>
      <c r="D16" s="9">
        <v>9.6</v>
      </c>
      <c r="E16" s="10">
        <v>9.8181818181818106E-2</v>
      </c>
      <c r="F16" s="11">
        <f t="shared" si="0"/>
        <v>0.90181818181818185</v>
      </c>
      <c r="G16"/>
      <c r="L16" s="30"/>
    </row>
    <row r="17" spans="1:12" hidden="1" x14ac:dyDescent="0.3">
      <c r="A17" t="s">
        <v>24</v>
      </c>
      <c r="B17">
        <v>2018</v>
      </c>
      <c r="C17">
        <v>2379</v>
      </c>
      <c r="D17" s="9">
        <v>6.9116792562463685</v>
      </c>
      <c r="E17" s="10">
        <v>0.3600168137873056</v>
      </c>
      <c r="F17" s="11">
        <v>0.63998318621269434</v>
      </c>
      <c r="G17"/>
      <c r="L17" s="30"/>
    </row>
    <row r="18" spans="1:12" ht="14.4" hidden="1" customHeight="1" x14ac:dyDescent="0.3">
      <c r="A18" t="s">
        <v>24</v>
      </c>
      <c r="B18">
        <v>2019</v>
      </c>
      <c r="C18">
        <v>2370</v>
      </c>
      <c r="D18" s="9">
        <v>6.9</v>
      </c>
      <c r="E18" s="10">
        <v>0.3600168137873056</v>
      </c>
      <c r="F18" s="11">
        <v>0.63998318621269434</v>
      </c>
      <c r="G18"/>
      <c r="L18" s="30"/>
    </row>
    <row r="19" spans="1:12" ht="14.4" hidden="1" customHeight="1" x14ac:dyDescent="0.3">
      <c r="A19" t="s">
        <v>24</v>
      </c>
      <c r="B19">
        <v>2020</v>
      </c>
      <c r="C19">
        <v>3243</v>
      </c>
      <c r="D19" s="9">
        <v>9.3000000000000007</v>
      </c>
      <c r="E19" s="10">
        <v>0.3600168137873056</v>
      </c>
      <c r="F19" s="11">
        <v>0.63998318621269434</v>
      </c>
      <c r="G19"/>
      <c r="L19" s="30"/>
    </row>
    <row r="20" spans="1:12" ht="14.4" hidden="1" customHeight="1" x14ac:dyDescent="0.3">
      <c r="A20" t="s">
        <v>24</v>
      </c>
      <c r="B20">
        <v>2021</v>
      </c>
      <c r="C20">
        <v>3262</v>
      </c>
      <c r="D20" s="9">
        <v>9.3000000000000007</v>
      </c>
      <c r="E20" s="10">
        <v>0.3600168137873056</v>
      </c>
      <c r="F20" s="11">
        <v>0.63998318621269434</v>
      </c>
      <c r="G20"/>
      <c r="L20" s="30"/>
    </row>
    <row r="21" spans="1:12" hidden="1" x14ac:dyDescent="0.3">
      <c r="A21" t="s">
        <v>24</v>
      </c>
      <c r="B21">
        <v>2022</v>
      </c>
      <c r="C21">
        <v>3320</v>
      </c>
      <c r="D21" s="9">
        <v>9.4</v>
      </c>
      <c r="E21" s="10">
        <v>0.3600168137873056</v>
      </c>
      <c r="F21" s="11">
        <v>0.63998318621269434</v>
      </c>
      <c r="G21"/>
      <c r="L21" s="30"/>
    </row>
    <row r="22" spans="1:12" hidden="1" x14ac:dyDescent="0.3">
      <c r="A22" t="s">
        <v>25</v>
      </c>
      <c r="B22">
        <v>2018</v>
      </c>
      <c r="C22">
        <v>443</v>
      </c>
      <c r="D22" s="9">
        <v>0.3688285738073433</v>
      </c>
      <c r="E22" s="10">
        <v>0.62677200902934516</v>
      </c>
      <c r="F22" s="11">
        <v>0.37322799097065484</v>
      </c>
      <c r="G22"/>
      <c r="L22" s="30"/>
    </row>
    <row r="23" spans="1:12" ht="14.4" hidden="1" customHeight="1" x14ac:dyDescent="0.3">
      <c r="A23" t="s">
        <v>25</v>
      </c>
      <c r="B23">
        <v>2019</v>
      </c>
      <c r="C23">
        <v>641</v>
      </c>
      <c r="D23" s="9">
        <v>0.5</v>
      </c>
      <c r="E23" s="10">
        <v>0.62677200902934516</v>
      </c>
      <c r="F23" s="11">
        <v>0.37322799097065484</v>
      </c>
      <c r="G23"/>
      <c r="L23" s="30"/>
    </row>
    <row r="24" spans="1:12" ht="14.4" hidden="1" customHeight="1" x14ac:dyDescent="0.3">
      <c r="A24" t="s">
        <v>25</v>
      </c>
      <c r="B24">
        <v>2020</v>
      </c>
      <c r="C24">
        <v>809</v>
      </c>
      <c r="D24" s="9">
        <v>0.7</v>
      </c>
      <c r="E24" s="10">
        <v>0.62677200902934516</v>
      </c>
      <c r="F24" s="11">
        <v>0.37322799097065484</v>
      </c>
      <c r="G24"/>
      <c r="L24" s="30"/>
    </row>
    <row r="25" spans="1:12" ht="14.4" hidden="1" customHeight="1" x14ac:dyDescent="0.3">
      <c r="A25" t="s">
        <v>25</v>
      </c>
      <c r="B25">
        <v>2021</v>
      </c>
      <c r="C25">
        <v>827</v>
      </c>
      <c r="D25" s="9">
        <v>0.7</v>
      </c>
      <c r="E25" s="10">
        <v>0.62677200902934516</v>
      </c>
      <c r="F25" s="11">
        <v>0.37322799097065484</v>
      </c>
      <c r="G25"/>
      <c r="L25" s="30"/>
    </row>
    <row r="26" spans="1:12" hidden="1" x14ac:dyDescent="0.3">
      <c r="A26" t="s">
        <v>25</v>
      </c>
      <c r="B26">
        <v>2022</v>
      </c>
      <c r="C26">
        <v>702</v>
      </c>
      <c r="D26" s="9">
        <v>0.6</v>
      </c>
      <c r="E26" s="10">
        <v>0.62677200902934516</v>
      </c>
      <c r="F26" s="11">
        <v>0.37322799097065484</v>
      </c>
      <c r="G26"/>
      <c r="L26" s="30"/>
    </row>
    <row r="27" spans="1:12" hidden="1" x14ac:dyDescent="0.3">
      <c r="A27" t="s">
        <v>51</v>
      </c>
      <c r="B27">
        <v>2018</v>
      </c>
      <c r="C27">
        <v>702</v>
      </c>
      <c r="D27" s="9">
        <v>13.559322033898304</v>
      </c>
      <c r="E27" s="10">
        <v>-0.21087500000000001</v>
      </c>
      <c r="F27" s="11">
        <v>0.79</v>
      </c>
      <c r="G27"/>
      <c r="L27" s="30"/>
    </row>
    <row r="28" spans="1:12" ht="14.4" hidden="1" customHeight="1" x14ac:dyDescent="0.3">
      <c r="A28" t="s">
        <v>51</v>
      </c>
      <c r="B28">
        <v>2019</v>
      </c>
      <c r="C28">
        <v>131</v>
      </c>
      <c r="D28" s="9">
        <v>11.1</v>
      </c>
      <c r="E28" s="10">
        <v>-0.21087500000000001</v>
      </c>
      <c r="F28" s="11">
        <v>0.79</v>
      </c>
      <c r="G28"/>
      <c r="L28" s="30"/>
    </row>
    <row r="29" spans="1:12" ht="14.4" hidden="1" customHeight="1" x14ac:dyDescent="0.3">
      <c r="A29" t="s">
        <v>51</v>
      </c>
      <c r="B29">
        <v>2020</v>
      </c>
      <c r="C29">
        <v>128</v>
      </c>
      <c r="D29" s="9">
        <v>10.7</v>
      </c>
      <c r="E29" s="10">
        <v>-0.21087500000000001</v>
      </c>
      <c r="F29" s="11">
        <v>0.79</v>
      </c>
      <c r="G29"/>
      <c r="L29" s="30"/>
    </row>
    <row r="30" spans="1:12" ht="14.4" hidden="1" customHeight="1" x14ac:dyDescent="0.3">
      <c r="A30" t="s">
        <v>51</v>
      </c>
      <c r="B30">
        <v>2021</v>
      </c>
      <c r="C30">
        <v>7710</v>
      </c>
      <c r="D30" s="9">
        <v>9.9</v>
      </c>
      <c r="E30" s="10">
        <v>-0.21087500000000001</v>
      </c>
      <c r="F30" s="11">
        <v>0.79</v>
      </c>
      <c r="G30"/>
      <c r="L30" s="30"/>
    </row>
    <row r="31" spans="1:12" hidden="1" x14ac:dyDescent="0.3">
      <c r="A31" t="s">
        <v>51</v>
      </c>
      <c r="B31">
        <v>2022</v>
      </c>
      <c r="C31">
        <v>131</v>
      </c>
      <c r="D31" s="9">
        <v>10.7</v>
      </c>
      <c r="E31" s="10">
        <v>-0.21087500000000001</v>
      </c>
      <c r="F31" s="11">
        <v>0.79</v>
      </c>
      <c r="G31"/>
      <c r="L31" s="30"/>
    </row>
    <row r="32" spans="1:12" hidden="1" x14ac:dyDescent="0.3">
      <c r="A32" t="s">
        <v>26</v>
      </c>
      <c r="B32">
        <v>2018</v>
      </c>
      <c r="C32">
        <v>7046</v>
      </c>
      <c r="D32" s="9">
        <v>24.422876949740036</v>
      </c>
      <c r="E32" s="10">
        <v>0.15465512347431157</v>
      </c>
      <c r="F32" s="11">
        <v>0.84534487652568846</v>
      </c>
      <c r="G32"/>
      <c r="L32" s="30"/>
    </row>
    <row r="33" spans="1:12" ht="14.4" hidden="1" customHeight="1" x14ac:dyDescent="0.3">
      <c r="A33" t="s">
        <v>26</v>
      </c>
      <c r="B33">
        <v>2019</v>
      </c>
      <c r="C33">
        <v>7629</v>
      </c>
      <c r="D33" s="9">
        <v>26.4</v>
      </c>
      <c r="E33" s="10">
        <v>0.15465512347431157</v>
      </c>
      <c r="F33" s="11">
        <f>1-E33</f>
        <v>0.84534487652568846</v>
      </c>
      <c r="G33"/>
      <c r="L33" s="30"/>
    </row>
    <row r="34" spans="1:12" ht="14.4" hidden="1" customHeight="1" x14ac:dyDescent="0.3">
      <c r="A34" t="s">
        <v>26</v>
      </c>
      <c r="B34">
        <v>2020</v>
      </c>
      <c r="C34">
        <v>7710</v>
      </c>
      <c r="D34" s="9">
        <v>26.4</v>
      </c>
      <c r="E34" s="10">
        <v>0.15465512347431157</v>
      </c>
      <c r="F34" s="11">
        <f t="shared" ref="F34:F56" si="1">1-E34</f>
        <v>0.84534487652568846</v>
      </c>
      <c r="G34"/>
      <c r="L34" s="30"/>
    </row>
    <row r="35" spans="1:12" ht="14.4" hidden="1" customHeight="1" x14ac:dyDescent="0.3">
      <c r="A35" t="s">
        <v>26</v>
      </c>
      <c r="B35">
        <v>2021</v>
      </c>
      <c r="C35">
        <v>7828</v>
      </c>
      <c r="D35" s="9">
        <v>26.4</v>
      </c>
      <c r="E35" s="10">
        <v>0.15465512347431157</v>
      </c>
      <c r="F35" s="11">
        <f t="shared" si="1"/>
        <v>0.84534487652568846</v>
      </c>
      <c r="G35"/>
      <c r="L35" s="30"/>
    </row>
    <row r="36" spans="1:12" hidden="1" x14ac:dyDescent="0.3">
      <c r="A36" t="s">
        <v>26</v>
      </c>
      <c r="B36">
        <v>2022</v>
      </c>
      <c r="C36">
        <v>8446</v>
      </c>
      <c r="D36" s="9">
        <v>28.2</v>
      </c>
      <c r="E36" s="10">
        <v>0.15465512347431157</v>
      </c>
      <c r="F36" s="11">
        <f t="shared" si="1"/>
        <v>0.84534487652568846</v>
      </c>
      <c r="G36"/>
      <c r="L36" s="30"/>
    </row>
    <row r="37" spans="1:12" hidden="1" x14ac:dyDescent="0.3">
      <c r="A37" t="s">
        <v>97</v>
      </c>
      <c r="B37">
        <v>2018</v>
      </c>
      <c r="C37">
        <v>101</v>
      </c>
      <c r="D37" s="9">
        <v>16.2</v>
      </c>
      <c r="E37" s="10">
        <v>5.5555555555555691E-2</v>
      </c>
      <c r="F37" s="11">
        <f t="shared" si="1"/>
        <v>0.94444444444444431</v>
      </c>
      <c r="G37"/>
      <c r="L37" s="30"/>
    </row>
    <row r="38" spans="1:12" ht="14.4" hidden="1" customHeight="1" x14ac:dyDescent="0.3">
      <c r="A38" t="s">
        <v>97</v>
      </c>
      <c r="B38">
        <v>2019</v>
      </c>
      <c r="C38">
        <v>95</v>
      </c>
      <c r="D38" s="9">
        <v>16.399999999999999</v>
      </c>
      <c r="E38" s="10">
        <v>5.5555555555555691E-2</v>
      </c>
      <c r="F38" s="11">
        <f t="shared" si="1"/>
        <v>0.94444444444444431</v>
      </c>
      <c r="G38"/>
      <c r="L38" s="30"/>
    </row>
    <row r="39" spans="1:12" ht="14.4" hidden="1" customHeight="1" x14ac:dyDescent="0.3">
      <c r="A39" t="s">
        <v>97</v>
      </c>
      <c r="B39">
        <v>2020</v>
      </c>
      <c r="C39">
        <v>79</v>
      </c>
      <c r="D39" s="9">
        <v>15</v>
      </c>
      <c r="E39" s="10">
        <v>5.5555555555555691E-2</v>
      </c>
      <c r="F39" s="11">
        <f t="shared" si="1"/>
        <v>0.94444444444444431</v>
      </c>
      <c r="G39"/>
      <c r="L39" s="30"/>
    </row>
    <row r="40" spans="1:12" ht="14.4" hidden="1" customHeight="1" x14ac:dyDescent="0.3">
      <c r="A40" t="s">
        <v>97</v>
      </c>
      <c r="B40">
        <v>2021</v>
      </c>
      <c r="C40">
        <v>86</v>
      </c>
      <c r="D40" s="9">
        <v>15.4</v>
      </c>
      <c r="E40" s="10">
        <v>5.5555555555555691E-2</v>
      </c>
      <c r="F40" s="11">
        <f t="shared" si="1"/>
        <v>0.94444444444444431</v>
      </c>
      <c r="G40"/>
      <c r="L40" s="30"/>
    </row>
    <row r="41" spans="1:12" hidden="1" x14ac:dyDescent="0.3">
      <c r="A41" t="s">
        <v>97</v>
      </c>
      <c r="B41">
        <v>2022</v>
      </c>
      <c r="C41">
        <v>103</v>
      </c>
      <c r="D41" s="9">
        <v>17.100000000000001</v>
      </c>
      <c r="E41" s="10">
        <v>5.5555555555555691E-2</v>
      </c>
      <c r="F41" s="11">
        <f t="shared" si="1"/>
        <v>0.94444444444444431</v>
      </c>
      <c r="G41"/>
      <c r="L41" s="30"/>
    </row>
    <row r="42" spans="1:12" hidden="1" x14ac:dyDescent="0.3">
      <c r="A42" t="s">
        <v>96</v>
      </c>
      <c r="B42">
        <v>2018</v>
      </c>
      <c r="C42">
        <v>35</v>
      </c>
      <c r="D42" s="9">
        <v>16.100000000000001</v>
      </c>
      <c r="E42" s="10">
        <v>6.2111801242236017E-2</v>
      </c>
      <c r="F42" s="11">
        <f t="shared" si="1"/>
        <v>0.93788819875776397</v>
      </c>
      <c r="G42"/>
      <c r="L42" s="30"/>
    </row>
    <row r="43" spans="1:12" ht="14.4" hidden="1" customHeight="1" x14ac:dyDescent="0.3">
      <c r="A43" t="s">
        <v>96</v>
      </c>
      <c r="B43">
        <v>2019</v>
      </c>
      <c r="C43">
        <v>46</v>
      </c>
      <c r="D43" s="9">
        <v>16.3</v>
      </c>
      <c r="E43" s="10">
        <v>6.2111801242236017E-2</v>
      </c>
      <c r="F43" s="11">
        <f t="shared" si="1"/>
        <v>0.93788819875776397</v>
      </c>
      <c r="G43"/>
      <c r="L43" s="30"/>
    </row>
    <row r="44" spans="1:12" ht="14.4" hidden="1" customHeight="1" x14ac:dyDescent="0.3">
      <c r="A44" t="s">
        <v>96</v>
      </c>
      <c r="B44">
        <v>2020</v>
      </c>
      <c r="C44">
        <v>77</v>
      </c>
      <c r="D44" s="9">
        <v>15</v>
      </c>
      <c r="E44" s="10">
        <v>6.2111801242236017E-2</v>
      </c>
      <c r="F44" s="11">
        <f t="shared" si="1"/>
        <v>0.93788819875776397</v>
      </c>
      <c r="G44"/>
      <c r="L44" s="30"/>
    </row>
    <row r="45" spans="1:12" ht="14.4" hidden="1" customHeight="1" x14ac:dyDescent="0.3">
      <c r="A45" t="s">
        <v>96</v>
      </c>
      <c r="B45">
        <v>2021</v>
      </c>
      <c r="C45">
        <v>85</v>
      </c>
      <c r="D45" s="9">
        <v>15.4</v>
      </c>
      <c r="E45" s="10">
        <v>6.2111801242236017E-2</v>
      </c>
      <c r="F45" s="11">
        <f t="shared" si="1"/>
        <v>0.93788819875776397</v>
      </c>
      <c r="G45"/>
      <c r="L45" s="30"/>
    </row>
    <row r="46" spans="1:12" hidden="1" x14ac:dyDescent="0.3">
      <c r="A46" t="s">
        <v>96</v>
      </c>
      <c r="B46">
        <v>2022</v>
      </c>
      <c r="C46">
        <v>102</v>
      </c>
      <c r="D46" s="9">
        <v>17.100000000000001</v>
      </c>
      <c r="E46" s="10">
        <v>6.2111801242236017E-2</v>
      </c>
      <c r="F46" s="11">
        <f t="shared" si="1"/>
        <v>0.93788819875776397</v>
      </c>
      <c r="G46"/>
      <c r="L46" s="30"/>
    </row>
    <row r="47" spans="1:12" hidden="1" x14ac:dyDescent="0.3">
      <c r="A47" t="s">
        <v>95</v>
      </c>
      <c r="B47">
        <v>2018</v>
      </c>
      <c r="C47">
        <v>2526</v>
      </c>
      <c r="D47" s="9">
        <v>12.668004012036109</v>
      </c>
      <c r="E47" s="10">
        <v>0.2788123515439429</v>
      </c>
      <c r="F47" s="11">
        <f t="shared" si="1"/>
        <v>0.7211876484560571</v>
      </c>
      <c r="G47"/>
      <c r="L47" s="30"/>
    </row>
    <row r="48" spans="1:12" ht="14.4" hidden="1" customHeight="1" x14ac:dyDescent="0.3">
      <c r="A48" t="s">
        <v>95</v>
      </c>
      <c r="B48">
        <v>2019</v>
      </c>
      <c r="C48">
        <v>2526</v>
      </c>
      <c r="D48" s="9">
        <v>12.7</v>
      </c>
      <c r="E48" s="10">
        <v>0.2788123515439429</v>
      </c>
      <c r="F48" s="11">
        <f t="shared" si="1"/>
        <v>0.7211876484560571</v>
      </c>
      <c r="G48"/>
      <c r="L48" s="30"/>
    </row>
    <row r="49" spans="1:12" ht="14.4" hidden="1" customHeight="1" x14ac:dyDescent="0.3">
      <c r="A49" t="s">
        <v>95</v>
      </c>
      <c r="B49">
        <v>2020</v>
      </c>
      <c r="C49">
        <v>3142</v>
      </c>
      <c r="D49" s="9">
        <v>15.5</v>
      </c>
      <c r="E49" s="10">
        <v>0.2788123515439429</v>
      </c>
      <c r="F49" s="11">
        <f t="shared" si="1"/>
        <v>0.7211876484560571</v>
      </c>
      <c r="G49"/>
      <c r="L49" s="30"/>
    </row>
    <row r="50" spans="1:12" ht="14.4" hidden="1" customHeight="1" x14ac:dyDescent="0.3">
      <c r="A50" t="s">
        <v>95</v>
      </c>
      <c r="B50">
        <v>2021</v>
      </c>
      <c r="C50">
        <v>2840</v>
      </c>
      <c r="D50" s="9">
        <v>13.7</v>
      </c>
      <c r="E50" s="10">
        <v>0.2788123515439429</v>
      </c>
      <c r="F50" s="11">
        <f t="shared" si="1"/>
        <v>0.7211876484560571</v>
      </c>
      <c r="G50"/>
      <c r="L50" s="30"/>
    </row>
    <row r="51" spans="1:12" hidden="1" x14ac:dyDescent="0.3">
      <c r="A51" t="s">
        <v>95</v>
      </c>
      <c r="B51">
        <v>2022</v>
      </c>
      <c r="C51">
        <v>3417</v>
      </c>
      <c r="D51" s="9">
        <v>16.2</v>
      </c>
      <c r="E51" s="10">
        <v>0.2788123515439429</v>
      </c>
      <c r="F51" s="11">
        <f t="shared" si="1"/>
        <v>0.7211876484560571</v>
      </c>
      <c r="G51"/>
      <c r="L51" s="30"/>
    </row>
    <row r="52" spans="1:12" hidden="1" x14ac:dyDescent="0.3">
      <c r="A52" t="s">
        <v>27</v>
      </c>
      <c r="B52">
        <v>2018</v>
      </c>
      <c r="C52">
        <v>256</v>
      </c>
      <c r="D52" s="9">
        <v>16.623376623376622</v>
      </c>
      <c r="E52" s="10">
        <v>0.15500000000000005</v>
      </c>
      <c r="F52" s="11">
        <f t="shared" si="1"/>
        <v>0.84499999999999997</v>
      </c>
      <c r="G52"/>
      <c r="L52" s="30"/>
    </row>
    <row r="53" spans="1:12" ht="14.4" hidden="1" customHeight="1" x14ac:dyDescent="0.3">
      <c r="A53" t="s">
        <v>27</v>
      </c>
      <c r="B53">
        <v>2019</v>
      </c>
      <c r="C53">
        <v>259</v>
      </c>
      <c r="D53" s="9">
        <v>16.8</v>
      </c>
      <c r="E53" s="10">
        <v>0.15500000000000005</v>
      </c>
      <c r="F53" s="11">
        <f t="shared" si="1"/>
        <v>0.84499999999999997</v>
      </c>
      <c r="G53"/>
      <c r="L53" s="30"/>
    </row>
    <row r="54" spans="1:12" ht="14.4" hidden="1" customHeight="1" x14ac:dyDescent="0.3">
      <c r="A54" t="s">
        <v>27</v>
      </c>
      <c r="B54">
        <v>2020</v>
      </c>
      <c r="C54">
        <v>308</v>
      </c>
      <c r="D54" s="9">
        <v>19.899999999999999</v>
      </c>
      <c r="E54" s="10">
        <v>0.15500000000000005</v>
      </c>
      <c r="F54" s="11">
        <f t="shared" si="1"/>
        <v>0.84499999999999997</v>
      </c>
      <c r="G54"/>
      <c r="L54" s="30"/>
    </row>
    <row r="55" spans="1:12" ht="14.4" hidden="1" customHeight="1" x14ac:dyDescent="0.3">
      <c r="A55" t="s">
        <v>27</v>
      </c>
      <c r="B55">
        <v>2021</v>
      </c>
      <c r="C55">
        <v>321</v>
      </c>
      <c r="D55" s="9">
        <v>20.6</v>
      </c>
      <c r="E55" s="10">
        <v>0.15500000000000005</v>
      </c>
      <c r="F55" s="11">
        <f t="shared" si="1"/>
        <v>0.84499999999999997</v>
      </c>
      <c r="L55" s="30"/>
    </row>
    <row r="56" spans="1:12" hidden="1" x14ac:dyDescent="0.3">
      <c r="A56" t="s">
        <v>27</v>
      </c>
      <c r="B56">
        <v>2022</v>
      </c>
      <c r="C56">
        <v>302</v>
      </c>
      <c r="D56" s="9">
        <v>19.2</v>
      </c>
      <c r="E56" s="10">
        <v>0.15500000000000005</v>
      </c>
      <c r="F56" s="11">
        <f t="shared" si="1"/>
        <v>0.84499999999999997</v>
      </c>
      <c r="L56" s="30"/>
    </row>
    <row r="57" spans="1:12" hidden="1" x14ac:dyDescent="0.3">
      <c r="A57" t="s">
        <v>28</v>
      </c>
      <c r="B57">
        <v>2018</v>
      </c>
      <c r="C57">
        <v>7793</v>
      </c>
      <c r="D57" s="9">
        <v>11.418315018315019</v>
      </c>
      <c r="E57" s="10">
        <v>0.11224817143590393</v>
      </c>
      <c r="F57" s="12">
        <f t="shared" ref="F57:F116" si="2">1-E57</f>
        <v>0.88775182856409607</v>
      </c>
      <c r="L57" s="30"/>
    </row>
    <row r="58" spans="1:12" ht="14.4" hidden="1" customHeight="1" x14ac:dyDescent="0.3">
      <c r="A58" t="s">
        <v>28</v>
      </c>
      <c r="B58">
        <v>2019</v>
      </c>
      <c r="C58">
        <v>7655</v>
      </c>
      <c r="D58" s="9">
        <v>11.2</v>
      </c>
      <c r="E58" s="10">
        <v>0.11224817143590393</v>
      </c>
      <c r="F58" s="12">
        <f t="shared" si="2"/>
        <v>0.88775182856409607</v>
      </c>
      <c r="L58" s="30"/>
    </row>
    <row r="59" spans="1:12" ht="14.4" hidden="1" customHeight="1" x14ac:dyDescent="0.3">
      <c r="A59" t="s">
        <v>28</v>
      </c>
      <c r="B59">
        <v>2020</v>
      </c>
      <c r="C59">
        <v>8050</v>
      </c>
      <c r="D59" s="9">
        <v>11.6</v>
      </c>
      <c r="E59" s="10">
        <v>0.11224817143590393</v>
      </c>
      <c r="F59" s="12">
        <f t="shared" si="2"/>
        <v>0.88775182856409607</v>
      </c>
      <c r="L59" s="30"/>
    </row>
    <row r="60" spans="1:12" ht="14.4" hidden="1" customHeight="1" x14ac:dyDescent="0.3">
      <c r="A60" t="s">
        <v>28</v>
      </c>
      <c r="B60">
        <v>2021</v>
      </c>
      <c r="C60">
        <v>8789</v>
      </c>
      <c r="D60" s="9">
        <v>12.5</v>
      </c>
      <c r="E60" s="10">
        <v>0.11224817143590393</v>
      </c>
      <c r="F60" s="12">
        <f t="shared" si="2"/>
        <v>0.88775182856409607</v>
      </c>
      <c r="L60" s="30"/>
    </row>
    <row r="61" spans="1:12" hidden="1" x14ac:dyDescent="0.3">
      <c r="A61" t="s">
        <v>28</v>
      </c>
      <c r="B61">
        <v>2022</v>
      </c>
      <c r="C61">
        <v>9002</v>
      </c>
      <c r="D61" s="9">
        <v>12.7</v>
      </c>
      <c r="E61" s="10">
        <v>0.11224817143590393</v>
      </c>
      <c r="F61" s="12">
        <f t="shared" si="2"/>
        <v>0.88775182856409607</v>
      </c>
      <c r="L61" s="30"/>
    </row>
    <row r="62" spans="1:12" hidden="1" x14ac:dyDescent="0.3">
      <c r="A62" t="s">
        <v>29</v>
      </c>
      <c r="B62">
        <v>2018</v>
      </c>
      <c r="C62">
        <v>3547</v>
      </c>
      <c r="D62" s="9">
        <v>12.311697327316903</v>
      </c>
      <c r="E62" s="10">
        <v>2.3416972089089411E-2</v>
      </c>
      <c r="F62" s="12">
        <f t="shared" si="2"/>
        <v>0.97658302791091056</v>
      </c>
      <c r="L62" s="30"/>
    </row>
    <row r="63" spans="1:12" ht="14.4" hidden="1" customHeight="1" x14ac:dyDescent="0.3">
      <c r="A63" t="s">
        <v>29</v>
      </c>
      <c r="B63">
        <v>2019</v>
      </c>
      <c r="C63">
        <v>4191</v>
      </c>
      <c r="D63" s="9">
        <v>14.5</v>
      </c>
      <c r="E63" s="10">
        <v>2.3416972089089411E-2</v>
      </c>
      <c r="F63" s="12">
        <f t="shared" si="2"/>
        <v>0.97658302791091056</v>
      </c>
      <c r="L63" s="30"/>
    </row>
    <row r="64" spans="1:12" ht="14.4" hidden="1" customHeight="1" x14ac:dyDescent="0.3">
      <c r="A64" t="s">
        <v>29</v>
      </c>
      <c r="B64">
        <v>2020</v>
      </c>
      <c r="C64">
        <v>4001</v>
      </c>
      <c r="D64" s="9">
        <v>13.7</v>
      </c>
      <c r="E64" s="10">
        <v>2.3416972089089411E-2</v>
      </c>
      <c r="F64" s="12">
        <f t="shared" si="2"/>
        <v>0.97658302791091056</v>
      </c>
      <c r="L64" s="30"/>
    </row>
    <row r="65" spans="1:12" ht="14.4" hidden="1" customHeight="1" x14ac:dyDescent="0.3">
      <c r="A65" t="s">
        <v>29</v>
      </c>
      <c r="B65">
        <v>2021</v>
      </c>
      <c r="C65">
        <v>3692</v>
      </c>
      <c r="D65" s="9">
        <v>12.5</v>
      </c>
      <c r="E65" s="10">
        <v>2.3416972089089411E-2</v>
      </c>
      <c r="F65" s="12">
        <f t="shared" si="2"/>
        <v>0.97658302791091056</v>
      </c>
      <c r="L65" s="30"/>
    </row>
    <row r="66" spans="1:12" hidden="1" x14ac:dyDescent="0.3">
      <c r="A66" t="s">
        <v>29</v>
      </c>
      <c r="B66">
        <v>2022</v>
      </c>
      <c r="C66">
        <v>3783</v>
      </c>
      <c r="D66" s="9">
        <v>12.6</v>
      </c>
      <c r="E66" s="10">
        <v>2.3416972089089411E-2</v>
      </c>
      <c r="F66" s="12">
        <f t="shared" si="2"/>
        <v>0.97658302791091056</v>
      </c>
      <c r="L66" s="30"/>
    </row>
    <row r="67" spans="1:12" hidden="1" x14ac:dyDescent="0.3">
      <c r="A67" t="s">
        <v>30</v>
      </c>
      <c r="B67">
        <v>2018</v>
      </c>
      <c r="C67">
        <v>740</v>
      </c>
      <c r="D67" s="9">
        <v>10.109289617486338</v>
      </c>
      <c r="E67" s="10">
        <v>-0.139405405405405</v>
      </c>
      <c r="F67" s="12">
        <v>0.86</v>
      </c>
      <c r="L67" s="30"/>
    </row>
    <row r="68" spans="1:12" ht="14.4" hidden="1" customHeight="1" x14ac:dyDescent="0.3">
      <c r="A68" t="s">
        <v>30</v>
      </c>
      <c r="B68">
        <v>2019</v>
      </c>
      <c r="C68">
        <v>584</v>
      </c>
      <c r="D68" s="9">
        <v>8</v>
      </c>
      <c r="E68" s="10">
        <v>-0.139405405405405</v>
      </c>
      <c r="F68" s="12">
        <v>0.86</v>
      </c>
      <c r="L68" s="30"/>
    </row>
    <row r="69" spans="1:12" ht="14.4" hidden="1" customHeight="1" x14ac:dyDescent="0.3">
      <c r="A69" t="s">
        <v>30</v>
      </c>
      <c r="B69">
        <v>2020</v>
      </c>
      <c r="C69">
        <v>857</v>
      </c>
      <c r="D69" s="9">
        <v>11.6</v>
      </c>
      <c r="E69" s="10">
        <v>-0.139405405405405</v>
      </c>
      <c r="F69" s="12">
        <v>0.86</v>
      </c>
      <c r="L69" s="30"/>
    </row>
    <row r="70" spans="1:12" ht="14.4" hidden="1" customHeight="1" x14ac:dyDescent="0.3">
      <c r="A70" t="s">
        <v>30</v>
      </c>
      <c r="B70">
        <v>2021</v>
      </c>
      <c r="C70">
        <v>889</v>
      </c>
      <c r="D70" s="9">
        <v>12</v>
      </c>
      <c r="E70" s="10">
        <v>-0.139405405405405</v>
      </c>
      <c r="F70" s="12">
        <v>0.86</v>
      </c>
      <c r="L70" s="30"/>
    </row>
    <row r="71" spans="1:12" hidden="1" x14ac:dyDescent="0.3">
      <c r="A71" t="s">
        <v>30</v>
      </c>
      <c r="B71">
        <v>2022</v>
      </c>
      <c r="C71">
        <v>644</v>
      </c>
      <c r="D71" s="9">
        <v>8.6999999999999993</v>
      </c>
      <c r="E71" s="10">
        <v>-0.139405405405405</v>
      </c>
      <c r="F71" s="12">
        <v>0.86</v>
      </c>
      <c r="L71" s="30"/>
    </row>
    <row r="72" spans="1:12" x14ac:dyDescent="0.3">
      <c r="A72" t="s">
        <v>94</v>
      </c>
      <c r="B72">
        <v>2018</v>
      </c>
      <c r="C72">
        <v>134516</v>
      </c>
      <c r="D72" s="9">
        <v>10.056443956011094</v>
      </c>
      <c r="E72" s="10">
        <v>0.40208607154539239</v>
      </c>
      <c r="F72" s="12">
        <f t="shared" si="2"/>
        <v>0.59791392845460756</v>
      </c>
      <c r="L72" s="30"/>
    </row>
    <row r="73" spans="1:12" ht="14.4" customHeight="1" x14ac:dyDescent="0.3">
      <c r="A73" t="s">
        <v>94</v>
      </c>
      <c r="B73">
        <v>2019</v>
      </c>
      <c r="C73">
        <v>139123</v>
      </c>
      <c r="D73" s="9">
        <v>10.4</v>
      </c>
      <c r="E73" s="10">
        <v>0.40208607154539239</v>
      </c>
      <c r="F73" s="12">
        <f t="shared" si="2"/>
        <v>0.59791392845460756</v>
      </c>
      <c r="L73" s="30"/>
    </row>
    <row r="74" spans="1:12" ht="14.4" customHeight="1" x14ac:dyDescent="0.3">
      <c r="A74" t="s">
        <v>94</v>
      </c>
      <c r="B74">
        <v>2020</v>
      </c>
      <c r="C74">
        <v>153052</v>
      </c>
      <c r="D74" s="9">
        <v>11.3</v>
      </c>
      <c r="E74" s="10">
        <v>0.40208607154539239</v>
      </c>
      <c r="F74" s="12">
        <f t="shared" si="2"/>
        <v>0.59791392845460756</v>
      </c>
      <c r="L74" s="30"/>
    </row>
    <row r="75" spans="1:12" ht="14.4" customHeight="1" x14ac:dyDescent="0.3">
      <c r="A75" t="s">
        <v>94</v>
      </c>
      <c r="B75">
        <v>2021</v>
      </c>
      <c r="C75">
        <v>164033</v>
      </c>
      <c r="D75" s="9">
        <v>12</v>
      </c>
      <c r="E75" s="10">
        <v>0.40208607154539239</v>
      </c>
      <c r="F75" s="12">
        <f t="shared" si="2"/>
        <v>0.59791392845460756</v>
      </c>
      <c r="K75" t="str">
        <f>Slicer_Years</f>
        <v/>
      </c>
      <c r="L75" s="30"/>
    </row>
    <row r="76" spans="1:12" x14ac:dyDescent="0.3">
      <c r="A76" t="s">
        <v>94</v>
      </c>
      <c r="B76">
        <v>2022</v>
      </c>
      <c r="C76">
        <v>170924</v>
      </c>
      <c r="D76" s="9">
        <v>14.1</v>
      </c>
      <c r="E76" s="10">
        <v>0.40208607154539239</v>
      </c>
      <c r="F76" s="12">
        <f t="shared" si="2"/>
        <v>0.59791392845460756</v>
      </c>
      <c r="L76" s="30"/>
    </row>
    <row r="77" spans="1:12" hidden="1" x14ac:dyDescent="0.3">
      <c r="A77" t="s">
        <v>52</v>
      </c>
      <c r="B77">
        <v>2018</v>
      </c>
      <c r="C77">
        <v>330</v>
      </c>
      <c r="D77" s="9">
        <v>2.4</v>
      </c>
      <c r="E77" s="10">
        <f>(D81-State_UT[[#This Row],[Rate of Suicide]])/State_UT[[#This Row],[Rate of Suicide]]</f>
        <v>0</v>
      </c>
      <c r="F77" s="12">
        <f t="shared" si="2"/>
        <v>1</v>
      </c>
      <c r="L77" s="30"/>
    </row>
    <row r="78" spans="1:12" ht="14.4" hidden="1" customHeight="1" x14ac:dyDescent="0.3">
      <c r="A78" t="s">
        <v>52</v>
      </c>
      <c r="B78">
        <v>2019</v>
      </c>
      <c r="C78">
        <v>284</v>
      </c>
      <c r="D78" s="9">
        <v>2.1</v>
      </c>
      <c r="E78" s="10">
        <v>0</v>
      </c>
      <c r="F78" s="12">
        <f t="shared" si="2"/>
        <v>1</v>
      </c>
      <c r="L78" s="30"/>
    </row>
    <row r="79" spans="1:12" ht="14.4" hidden="1" customHeight="1" x14ac:dyDescent="0.3">
      <c r="A79" t="s">
        <v>52</v>
      </c>
      <c r="B79">
        <v>2020</v>
      </c>
      <c r="C79">
        <v>287</v>
      </c>
      <c r="D79" s="9">
        <v>2.2000000000000002</v>
      </c>
      <c r="E79" s="10">
        <v>0</v>
      </c>
      <c r="F79" s="12">
        <f t="shared" si="2"/>
        <v>1</v>
      </c>
      <c r="L79" s="30"/>
    </row>
    <row r="80" spans="1:12" ht="14.4" hidden="1" customHeight="1" x14ac:dyDescent="0.3">
      <c r="A80" t="s">
        <v>52</v>
      </c>
      <c r="B80">
        <v>2021</v>
      </c>
      <c r="C80">
        <v>247</v>
      </c>
      <c r="D80" s="9">
        <v>1.8</v>
      </c>
      <c r="E80" s="10">
        <v>0</v>
      </c>
      <c r="F80" s="12">
        <f t="shared" si="2"/>
        <v>1</v>
      </c>
      <c r="L80" s="30"/>
    </row>
    <row r="81" spans="1:12" hidden="1" x14ac:dyDescent="0.3">
      <c r="A81" t="s">
        <v>52</v>
      </c>
      <c r="B81">
        <v>2022</v>
      </c>
      <c r="C81">
        <v>323</v>
      </c>
      <c r="D81" s="9">
        <v>2.4</v>
      </c>
      <c r="E81" s="10">
        <v>0</v>
      </c>
      <c r="F81" s="12">
        <f t="shared" si="2"/>
        <v>1</v>
      </c>
      <c r="L81" s="30"/>
    </row>
    <row r="82" spans="1:12" hidden="1" x14ac:dyDescent="0.3">
      <c r="A82" t="s">
        <v>31</v>
      </c>
      <c r="B82">
        <v>2018</v>
      </c>
      <c r="C82">
        <v>1317</v>
      </c>
      <c r="D82" s="9">
        <v>3.5045236828100053</v>
      </c>
      <c r="E82" s="10">
        <v>0.59793470007593008</v>
      </c>
      <c r="F82" s="12">
        <f t="shared" si="2"/>
        <v>0.40206529992406992</v>
      </c>
      <c r="L82" s="30"/>
    </row>
    <row r="83" spans="1:12" ht="14.4" hidden="1" customHeight="1" x14ac:dyDescent="0.3">
      <c r="A83" t="s">
        <v>31</v>
      </c>
      <c r="B83">
        <v>2019</v>
      </c>
      <c r="C83">
        <v>1646</v>
      </c>
      <c r="D83" s="9">
        <v>4.4000000000000004</v>
      </c>
      <c r="E83" s="10">
        <v>0.59793470007593008</v>
      </c>
      <c r="F83" s="12">
        <f t="shared" si="2"/>
        <v>0.40206529992406992</v>
      </c>
      <c r="L83" s="30"/>
    </row>
    <row r="84" spans="1:12" ht="14.4" hidden="1" customHeight="1" x14ac:dyDescent="0.3">
      <c r="A84" t="s">
        <v>31</v>
      </c>
      <c r="B84">
        <v>2020</v>
      </c>
      <c r="C84">
        <v>2145</v>
      </c>
      <c r="D84" s="9">
        <v>5.6</v>
      </c>
      <c r="E84" s="10">
        <v>0.59793470007593008</v>
      </c>
      <c r="F84" s="12">
        <f t="shared" si="2"/>
        <v>0.40206529992406992</v>
      </c>
      <c r="L84" s="30"/>
    </row>
    <row r="85" spans="1:12" ht="14.4" hidden="1" customHeight="1" x14ac:dyDescent="0.3">
      <c r="A85" t="s">
        <v>31</v>
      </c>
      <c r="B85">
        <v>2021</v>
      </c>
      <c r="C85">
        <v>1825</v>
      </c>
      <c r="D85" s="9">
        <v>4.7</v>
      </c>
      <c r="E85" s="10">
        <v>0.59793470007593008</v>
      </c>
      <c r="F85" s="12">
        <f t="shared" si="2"/>
        <v>0.40206529992406992</v>
      </c>
      <c r="L85" s="30"/>
    </row>
    <row r="86" spans="1:12" hidden="1" x14ac:dyDescent="0.3">
      <c r="A86" t="s">
        <v>31</v>
      </c>
      <c r="B86">
        <v>2022</v>
      </c>
      <c r="C86">
        <v>2181</v>
      </c>
      <c r="D86" s="9">
        <v>5.6</v>
      </c>
      <c r="E86" s="10">
        <v>0.59793470007593008</v>
      </c>
      <c r="F86" s="12">
        <f t="shared" si="2"/>
        <v>0.40206529992406992</v>
      </c>
      <c r="L86" s="30"/>
    </row>
    <row r="87" spans="1:12" hidden="1" x14ac:dyDescent="0.3">
      <c r="A87" t="s">
        <v>32</v>
      </c>
      <c r="B87">
        <v>2018</v>
      </c>
      <c r="C87">
        <v>11561</v>
      </c>
      <c r="D87" s="9">
        <v>17.524632408670605</v>
      </c>
      <c r="E87" s="10">
        <v>0.1526632644234929</v>
      </c>
      <c r="F87" s="12">
        <f t="shared" si="2"/>
        <v>0.84733673557650713</v>
      </c>
      <c r="L87" s="30"/>
    </row>
    <row r="88" spans="1:12" ht="14.4" hidden="1" customHeight="1" x14ac:dyDescent="0.3">
      <c r="A88" t="s">
        <v>32</v>
      </c>
      <c r="B88">
        <v>2019</v>
      </c>
      <c r="C88">
        <v>11288</v>
      </c>
      <c r="D88" s="9">
        <v>17.100000000000001</v>
      </c>
      <c r="E88" s="10">
        <v>0.1526632644234929</v>
      </c>
      <c r="F88" s="12">
        <f t="shared" si="2"/>
        <v>0.84733673557650713</v>
      </c>
      <c r="L88" s="30"/>
    </row>
    <row r="89" spans="1:12" ht="14.4" hidden="1" customHeight="1" x14ac:dyDescent="0.3">
      <c r="A89" t="s">
        <v>32</v>
      </c>
      <c r="B89">
        <v>2020</v>
      </c>
      <c r="C89">
        <v>12259</v>
      </c>
      <c r="D89" s="9">
        <v>18.399999999999999</v>
      </c>
      <c r="E89" s="10">
        <v>0.1526632644234929</v>
      </c>
      <c r="F89" s="12">
        <f t="shared" si="2"/>
        <v>0.84733673557650713</v>
      </c>
      <c r="L89" s="30"/>
    </row>
    <row r="90" spans="1:12" ht="14.4" hidden="1" customHeight="1" x14ac:dyDescent="0.3">
      <c r="A90" t="s">
        <v>32</v>
      </c>
      <c r="B90">
        <v>2021</v>
      </c>
      <c r="C90">
        <v>13056</v>
      </c>
      <c r="D90" s="9">
        <v>19.5</v>
      </c>
      <c r="E90" s="10">
        <v>0.1526632644234929</v>
      </c>
      <c r="F90" s="12">
        <f t="shared" si="2"/>
        <v>0.84733673557650713</v>
      </c>
      <c r="L90" s="30"/>
    </row>
    <row r="91" spans="1:12" hidden="1" x14ac:dyDescent="0.3">
      <c r="A91" t="s">
        <v>32</v>
      </c>
      <c r="B91">
        <v>2022</v>
      </c>
      <c r="C91">
        <v>13606</v>
      </c>
      <c r="D91" s="9">
        <v>20.2</v>
      </c>
      <c r="E91" s="10">
        <v>0.1526632644234929</v>
      </c>
      <c r="F91" s="12">
        <f t="shared" si="2"/>
        <v>0.84733673557650713</v>
      </c>
      <c r="L91" s="30"/>
    </row>
    <row r="92" spans="1:12" hidden="1" x14ac:dyDescent="0.3">
      <c r="A92" t="s">
        <v>33</v>
      </c>
      <c r="B92">
        <v>2018</v>
      </c>
      <c r="C92">
        <v>8237</v>
      </c>
      <c r="D92" s="9">
        <v>23.407217959647628</v>
      </c>
      <c r="E92" s="10">
        <v>0.21757314556270482</v>
      </c>
      <c r="F92" s="12">
        <f t="shared" si="2"/>
        <v>0.78242685443729521</v>
      </c>
      <c r="L92" s="30"/>
    </row>
    <row r="93" spans="1:12" ht="14.4" hidden="1" customHeight="1" x14ac:dyDescent="0.3">
      <c r="A93" t="s">
        <v>33</v>
      </c>
      <c r="B93">
        <v>2019</v>
      </c>
      <c r="C93">
        <v>8556</v>
      </c>
      <c r="D93" s="9">
        <v>24.3</v>
      </c>
      <c r="E93" s="10">
        <v>0.21757314556270482</v>
      </c>
      <c r="F93" s="12">
        <f t="shared" si="2"/>
        <v>0.78242685443729521</v>
      </c>
      <c r="L93" s="30"/>
    </row>
    <row r="94" spans="1:12" ht="14.4" hidden="1" customHeight="1" x14ac:dyDescent="0.3">
      <c r="A94" t="s">
        <v>33</v>
      </c>
      <c r="B94">
        <v>2020</v>
      </c>
      <c r="C94">
        <v>8500</v>
      </c>
      <c r="D94" s="9">
        <v>24</v>
      </c>
      <c r="E94" s="10">
        <v>0.21757314556270482</v>
      </c>
      <c r="F94" s="12">
        <f t="shared" si="2"/>
        <v>0.78242685443729521</v>
      </c>
      <c r="L94" s="30"/>
    </row>
    <row r="95" spans="1:12" ht="14.4" hidden="1" customHeight="1" x14ac:dyDescent="0.3">
      <c r="A95" t="s">
        <v>33</v>
      </c>
      <c r="B95">
        <v>2021</v>
      </c>
      <c r="C95">
        <v>9549</v>
      </c>
      <c r="D95" s="9">
        <v>26.9</v>
      </c>
      <c r="E95" s="10">
        <v>0.21757314556270482</v>
      </c>
      <c r="F95" s="12">
        <f t="shared" si="2"/>
        <v>0.78242685443729521</v>
      </c>
      <c r="L95" s="30"/>
    </row>
    <row r="96" spans="1:12" hidden="1" x14ac:dyDescent="0.3">
      <c r="A96" t="s">
        <v>33</v>
      </c>
      <c r="B96">
        <v>2022</v>
      </c>
      <c r="C96">
        <v>10162</v>
      </c>
      <c r="D96" s="9">
        <v>28.5</v>
      </c>
      <c r="E96" s="10">
        <v>0.21757314556270482</v>
      </c>
      <c r="F96" s="12">
        <f t="shared" si="2"/>
        <v>0.78242685443729521</v>
      </c>
      <c r="L96" s="30"/>
    </row>
    <row r="97" spans="1:12" hidden="1" x14ac:dyDescent="0.3">
      <c r="A97" t="s">
        <v>53</v>
      </c>
      <c r="B97">
        <v>2018</v>
      </c>
      <c r="C97">
        <v>0</v>
      </c>
      <c r="D97" s="9">
        <v>0</v>
      </c>
      <c r="E97" s="10">
        <v>0.04</v>
      </c>
      <c r="F97" s="12">
        <f t="shared" si="2"/>
        <v>0.96</v>
      </c>
      <c r="L97" s="30"/>
    </row>
    <row r="98" spans="1:12" ht="14.4" hidden="1" customHeight="1" x14ac:dyDescent="0.3">
      <c r="A98" t="s">
        <v>53</v>
      </c>
      <c r="B98">
        <v>2019</v>
      </c>
      <c r="C98">
        <v>0</v>
      </c>
      <c r="D98" s="9">
        <v>0</v>
      </c>
      <c r="E98" s="10">
        <v>0.04</v>
      </c>
      <c r="F98" s="12">
        <f t="shared" si="2"/>
        <v>0.96</v>
      </c>
      <c r="L98" s="30"/>
    </row>
    <row r="99" spans="1:12" ht="14.4" hidden="1" customHeight="1" x14ac:dyDescent="0.3">
      <c r="A99" t="s">
        <v>53</v>
      </c>
      <c r="B99">
        <v>2020</v>
      </c>
      <c r="C99">
        <v>12</v>
      </c>
      <c r="D99" s="9">
        <v>4</v>
      </c>
      <c r="E99" s="10">
        <v>0.04</v>
      </c>
      <c r="F99" s="12">
        <f t="shared" si="2"/>
        <v>0.96</v>
      </c>
      <c r="L99" s="30"/>
    </row>
    <row r="100" spans="1:12" ht="14.4" hidden="1" customHeight="1" x14ac:dyDescent="0.3">
      <c r="A100" t="s">
        <v>53</v>
      </c>
      <c r="B100">
        <v>2021</v>
      </c>
      <c r="C100">
        <v>11</v>
      </c>
      <c r="D100" s="9">
        <v>3.7</v>
      </c>
      <c r="E100" s="10">
        <v>0.04</v>
      </c>
      <c r="F100" s="12">
        <f t="shared" si="2"/>
        <v>0.96</v>
      </c>
      <c r="L100" s="30"/>
    </row>
    <row r="101" spans="1:12" hidden="1" x14ac:dyDescent="0.3">
      <c r="A101" t="s">
        <v>53</v>
      </c>
      <c r="B101">
        <v>2022</v>
      </c>
      <c r="C101">
        <v>13</v>
      </c>
      <c r="D101" s="9">
        <v>4.3</v>
      </c>
      <c r="E101" s="10">
        <v>0.04</v>
      </c>
      <c r="F101" s="12">
        <f t="shared" si="2"/>
        <v>0.96</v>
      </c>
      <c r="L101" s="30"/>
    </row>
    <row r="102" spans="1:12" hidden="1" x14ac:dyDescent="0.3">
      <c r="A102" t="s">
        <v>54</v>
      </c>
      <c r="B102">
        <v>2018</v>
      </c>
      <c r="C102">
        <v>3</v>
      </c>
      <c r="D102" s="9">
        <v>4.2857142857142856</v>
      </c>
      <c r="E102" s="10">
        <v>-0.32333333333333336</v>
      </c>
      <c r="F102" s="12">
        <v>0.68</v>
      </c>
      <c r="L102" s="30"/>
    </row>
    <row r="103" spans="1:12" ht="14.4" hidden="1" customHeight="1" x14ac:dyDescent="0.3">
      <c r="A103" t="s">
        <v>54</v>
      </c>
      <c r="B103">
        <v>2019</v>
      </c>
      <c r="C103">
        <v>0</v>
      </c>
      <c r="D103" s="9">
        <v>0</v>
      </c>
      <c r="E103" s="10">
        <v>-0.32333333333333336</v>
      </c>
      <c r="F103" s="12">
        <v>0.68</v>
      </c>
      <c r="L103" s="30"/>
    </row>
    <row r="104" spans="1:12" ht="14.4" hidden="1" customHeight="1" x14ac:dyDescent="0.3">
      <c r="A104" t="s">
        <v>54</v>
      </c>
      <c r="B104">
        <v>2020</v>
      </c>
      <c r="C104">
        <v>2</v>
      </c>
      <c r="D104" s="9">
        <v>2.9</v>
      </c>
      <c r="E104" s="10">
        <v>-0.32333333333333336</v>
      </c>
      <c r="F104" s="12">
        <v>0.68</v>
      </c>
      <c r="L104" s="30"/>
    </row>
    <row r="105" spans="1:12" ht="14.4" hidden="1" customHeight="1" x14ac:dyDescent="0.3">
      <c r="A105" t="s">
        <v>54</v>
      </c>
      <c r="B105">
        <v>2021</v>
      </c>
      <c r="C105">
        <v>1</v>
      </c>
      <c r="D105" s="9">
        <v>1.5</v>
      </c>
      <c r="E105" s="10">
        <v>-0.32333333333333336</v>
      </c>
      <c r="F105" s="12">
        <v>0.68</v>
      </c>
      <c r="L105" s="30"/>
    </row>
    <row r="106" spans="1:12" hidden="1" x14ac:dyDescent="0.3">
      <c r="A106" t="s">
        <v>54</v>
      </c>
      <c r="B106">
        <v>2022</v>
      </c>
      <c r="C106">
        <v>2</v>
      </c>
      <c r="D106" s="9">
        <v>2.9</v>
      </c>
      <c r="E106" s="10">
        <v>-0.32333333333333336</v>
      </c>
      <c r="F106" s="12">
        <v>0.68</v>
      </c>
      <c r="L106" s="30"/>
    </row>
    <row r="107" spans="1:12" hidden="1" x14ac:dyDescent="0.3">
      <c r="A107" t="s">
        <v>34</v>
      </c>
      <c r="B107">
        <v>2018</v>
      </c>
      <c r="C107">
        <v>11775</v>
      </c>
      <c r="D107" s="9">
        <v>14.253722309647742</v>
      </c>
      <c r="E107" s="10">
        <v>0.25581231422505302</v>
      </c>
      <c r="F107" s="12">
        <f t="shared" si="2"/>
        <v>0.74418768577494698</v>
      </c>
      <c r="L107" s="30"/>
    </row>
    <row r="108" spans="1:12" ht="14.4" hidden="1" customHeight="1" x14ac:dyDescent="0.3">
      <c r="A108" t="s">
        <v>34</v>
      </c>
      <c r="B108">
        <v>2019</v>
      </c>
      <c r="C108">
        <v>12457</v>
      </c>
      <c r="D108" s="9">
        <v>15.1</v>
      </c>
      <c r="E108" s="10">
        <v>0.25581231422505302</v>
      </c>
      <c r="F108" s="12">
        <f t="shared" si="2"/>
        <v>0.74418768577494698</v>
      </c>
      <c r="L108" s="30"/>
    </row>
    <row r="109" spans="1:12" ht="14.4" hidden="1" customHeight="1" x14ac:dyDescent="0.3">
      <c r="A109" t="s">
        <v>34</v>
      </c>
      <c r="B109">
        <v>2020</v>
      </c>
      <c r="C109">
        <v>14578</v>
      </c>
      <c r="D109" s="9">
        <v>17.399999999999999</v>
      </c>
      <c r="E109" s="10">
        <v>0.25581231422505302</v>
      </c>
      <c r="F109" s="12">
        <f t="shared" si="2"/>
        <v>0.74418768577494698</v>
      </c>
      <c r="L109" s="30"/>
    </row>
    <row r="110" spans="1:12" ht="14.4" hidden="1" customHeight="1" x14ac:dyDescent="0.3">
      <c r="A110" t="s">
        <v>34</v>
      </c>
      <c r="B110">
        <v>2021</v>
      </c>
      <c r="C110">
        <v>14965</v>
      </c>
      <c r="D110" s="9">
        <v>17.600000000000001</v>
      </c>
      <c r="E110" s="10">
        <v>0.25581231422505302</v>
      </c>
      <c r="F110" s="12">
        <f t="shared" si="2"/>
        <v>0.74418768577494698</v>
      </c>
      <c r="L110" s="30"/>
    </row>
    <row r="111" spans="1:12" hidden="1" x14ac:dyDescent="0.3">
      <c r="A111" t="s">
        <v>34</v>
      </c>
      <c r="B111">
        <v>2022</v>
      </c>
      <c r="C111">
        <v>15386</v>
      </c>
      <c r="D111" s="9">
        <v>17.899999999999999</v>
      </c>
      <c r="E111" s="10">
        <v>0.25581231422505302</v>
      </c>
      <c r="F111" s="12">
        <f t="shared" si="2"/>
        <v>0.74418768577494698</v>
      </c>
      <c r="L111" s="30"/>
    </row>
    <row r="112" spans="1:12" hidden="1" x14ac:dyDescent="0.3">
      <c r="A112" t="s">
        <v>35</v>
      </c>
      <c r="B112">
        <v>2018</v>
      </c>
      <c r="C112">
        <v>17972</v>
      </c>
      <c r="D112" s="9">
        <v>14.667428384885335</v>
      </c>
      <c r="E112" s="10">
        <v>0.23402681949699533</v>
      </c>
      <c r="F112" s="12">
        <f t="shared" si="2"/>
        <v>0.76597318050300467</v>
      </c>
      <c r="L112" s="30"/>
    </row>
    <row r="113" spans="1:12" ht="14.4" hidden="1" customHeight="1" x14ac:dyDescent="0.3">
      <c r="A113" t="s">
        <v>35</v>
      </c>
      <c r="B113">
        <v>2019</v>
      </c>
      <c r="C113">
        <v>18916</v>
      </c>
      <c r="D113" s="9">
        <v>15.4</v>
      </c>
      <c r="E113" s="10">
        <v>0.23402681949699533</v>
      </c>
      <c r="F113" s="12">
        <f t="shared" si="2"/>
        <v>0.76597318050300467</v>
      </c>
      <c r="L113" s="30"/>
    </row>
    <row r="114" spans="1:12" ht="14.4" hidden="1" customHeight="1" x14ac:dyDescent="0.3">
      <c r="A114" t="s">
        <v>35</v>
      </c>
      <c r="B114">
        <v>2020</v>
      </c>
      <c r="C114">
        <v>19909</v>
      </c>
      <c r="D114" s="9">
        <v>16.100000000000001</v>
      </c>
      <c r="E114" s="10">
        <v>0.23402681949699533</v>
      </c>
      <c r="F114" s="12">
        <f t="shared" si="2"/>
        <v>0.76597318050300467</v>
      </c>
      <c r="L114" s="30"/>
    </row>
    <row r="115" spans="1:12" ht="14.4" hidden="1" customHeight="1" x14ac:dyDescent="0.3">
      <c r="A115" t="s">
        <v>35</v>
      </c>
      <c r="B115">
        <v>2021</v>
      </c>
      <c r="C115">
        <v>22207</v>
      </c>
      <c r="D115" s="9">
        <v>17.8</v>
      </c>
      <c r="E115" s="10">
        <v>0.23402681949699533</v>
      </c>
      <c r="F115" s="12">
        <f t="shared" si="2"/>
        <v>0.76597318050300467</v>
      </c>
      <c r="L115" s="30"/>
    </row>
    <row r="116" spans="1:12" hidden="1" x14ac:dyDescent="0.3">
      <c r="A116" t="s">
        <v>35</v>
      </c>
      <c r="B116">
        <v>2022</v>
      </c>
      <c r="C116">
        <v>22746</v>
      </c>
      <c r="D116" s="9">
        <v>18.100000000000001</v>
      </c>
      <c r="E116" s="10">
        <v>0.23402681949699533</v>
      </c>
      <c r="F116" s="12">
        <f t="shared" si="2"/>
        <v>0.76597318050300467</v>
      </c>
      <c r="L116" s="30"/>
    </row>
    <row r="117" spans="1:12" hidden="1" x14ac:dyDescent="0.3">
      <c r="A117" t="s">
        <v>36</v>
      </c>
      <c r="B117">
        <v>2018</v>
      </c>
      <c r="C117">
        <v>52</v>
      </c>
      <c r="D117" s="9">
        <v>1.6720257234726688</v>
      </c>
      <c r="E117" s="10">
        <v>-0.52153846153846151</v>
      </c>
      <c r="F117" s="12">
        <v>0.48</v>
      </c>
      <c r="L117" s="30"/>
    </row>
    <row r="118" spans="1:12" ht="14.4" hidden="1" customHeight="1" x14ac:dyDescent="0.3">
      <c r="A118" t="s">
        <v>36</v>
      </c>
      <c r="B118">
        <v>2019</v>
      </c>
      <c r="C118">
        <v>58</v>
      </c>
      <c r="D118" s="9">
        <v>1.9</v>
      </c>
      <c r="E118" s="10">
        <v>-0.52153846153846151</v>
      </c>
      <c r="F118" s="12">
        <v>0.48</v>
      </c>
      <c r="L118" s="30"/>
    </row>
    <row r="119" spans="1:12" ht="14.4" hidden="1" customHeight="1" x14ac:dyDescent="0.3">
      <c r="A119" t="s">
        <v>36</v>
      </c>
      <c r="B119">
        <v>2020</v>
      </c>
      <c r="C119">
        <v>44</v>
      </c>
      <c r="D119" s="9">
        <v>1.4</v>
      </c>
      <c r="E119" s="10">
        <v>-0.52153846153846151</v>
      </c>
      <c r="F119" s="12">
        <v>0.48</v>
      </c>
      <c r="L119" s="30"/>
    </row>
    <row r="120" spans="1:12" ht="14.4" hidden="1" customHeight="1" x14ac:dyDescent="0.3">
      <c r="A120" t="s">
        <v>36</v>
      </c>
      <c r="B120">
        <v>2021</v>
      </c>
      <c r="C120">
        <v>49</v>
      </c>
      <c r="D120" s="9">
        <v>1.5</v>
      </c>
      <c r="E120" s="10">
        <v>-0.52153846153846151</v>
      </c>
      <c r="F120" s="12">
        <v>0.48</v>
      </c>
      <c r="L120" s="30"/>
    </row>
    <row r="121" spans="1:12" hidden="1" x14ac:dyDescent="0.3">
      <c r="A121" t="s">
        <v>36</v>
      </c>
      <c r="B121">
        <v>2022</v>
      </c>
      <c r="C121">
        <v>26</v>
      </c>
      <c r="D121" s="9">
        <v>0.8</v>
      </c>
      <c r="E121" s="10">
        <v>-0.52153846153846151</v>
      </c>
      <c r="F121" s="12">
        <v>0.48</v>
      </c>
      <c r="L121" s="30"/>
    </row>
    <row r="122" spans="1:12" hidden="1" x14ac:dyDescent="0.3">
      <c r="A122" t="s">
        <v>37</v>
      </c>
      <c r="B122">
        <v>2018</v>
      </c>
      <c r="C122">
        <v>189</v>
      </c>
      <c r="D122" s="9">
        <v>5.8513931888544901</v>
      </c>
      <c r="E122" s="10">
        <v>9.3756613756613635E-2</v>
      </c>
      <c r="F122" s="12">
        <f t="shared" ref="F122:F184" si="3">1-E122</f>
        <v>0.90624338624338641</v>
      </c>
      <c r="L122" s="30"/>
    </row>
    <row r="123" spans="1:12" ht="14.4" hidden="1" customHeight="1" x14ac:dyDescent="0.3">
      <c r="A123" t="s">
        <v>37</v>
      </c>
      <c r="B123">
        <v>2019</v>
      </c>
      <c r="C123">
        <v>198</v>
      </c>
      <c r="D123" s="9">
        <v>6.1</v>
      </c>
      <c r="E123" s="10">
        <v>9.3756613756613635E-2</v>
      </c>
      <c r="F123" s="12">
        <f t="shared" si="3"/>
        <v>0.90624338624338641</v>
      </c>
      <c r="L123" s="30"/>
    </row>
    <row r="124" spans="1:12" ht="14.4" hidden="1" customHeight="1" x14ac:dyDescent="0.3">
      <c r="A124" t="s">
        <v>37</v>
      </c>
      <c r="B124">
        <v>2020</v>
      </c>
      <c r="C124">
        <v>224</v>
      </c>
      <c r="D124" s="9">
        <v>6.9</v>
      </c>
      <c r="E124" s="10">
        <v>9.3756613756613635E-2</v>
      </c>
      <c r="F124" s="12">
        <f t="shared" si="3"/>
        <v>0.90624338624338641</v>
      </c>
      <c r="L124" s="30"/>
    </row>
    <row r="125" spans="1:12" ht="14.4" hidden="1" customHeight="1" x14ac:dyDescent="0.3">
      <c r="A125" t="s">
        <v>37</v>
      </c>
      <c r="B125">
        <v>2021</v>
      </c>
      <c r="C125">
        <v>226</v>
      </c>
      <c r="D125" s="9">
        <v>6.9</v>
      </c>
      <c r="E125" s="10">
        <v>9.3756613756613635E-2</v>
      </c>
      <c r="F125" s="12">
        <f t="shared" si="3"/>
        <v>0.90624338624338641</v>
      </c>
      <c r="L125" s="30"/>
    </row>
    <row r="126" spans="1:12" hidden="1" x14ac:dyDescent="0.3">
      <c r="A126" t="s">
        <v>37</v>
      </c>
      <c r="B126">
        <v>2022</v>
      </c>
      <c r="C126">
        <v>213</v>
      </c>
      <c r="D126" s="9">
        <v>6.4</v>
      </c>
      <c r="E126" s="10">
        <v>9.3756613756613635E-2</v>
      </c>
      <c r="F126" s="12">
        <f t="shared" si="3"/>
        <v>0.90624338624338641</v>
      </c>
      <c r="L126" s="30"/>
    </row>
    <row r="127" spans="1:12" hidden="1" x14ac:dyDescent="0.3">
      <c r="A127" t="s">
        <v>38</v>
      </c>
      <c r="B127">
        <v>2018</v>
      </c>
      <c r="C127">
        <v>79</v>
      </c>
      <c r="D127" s="9">
        <v>6.583333333333333</v>
      </c>
      <c r="E127" s="10">
        <f>(D131-State_UT[[#This Row],[Rate of Suicide]])/State_UT[[#This Row],[Rate of Suicide]]</f>
        <v>0.88354430379746851</v>
      </c>
      <c r="F127" s="12">
        <f t="shared" si="3"/>
        <v>0.11645569620253149</v>
      </c>
      <c r="L127" s="30"/>
    </row>
    <row r="128" spans="1:12" ht="14.4" hidden="1" customHeight="1" x14ac:dyDescent="0.3">
      <c r="A128" t="s">
        <v>38</v>
      </c>
      <c r="B128">
        <v>2019</v>
      </c>
      <c r="C128">
        <v>70</v>
      </c>
      <c r="D128" s="9">
        <v>5.9</v>
      </c>
      <c r="E128" s="10">
        <v>0.88354430379746851</v>
      </c>
      <c r="F128" s="12">
        <f t="shared" si="3"/>
        <v>0.11645569620253149</v>
      </c>
      <c r="L128" s="30"/>
    </row>
    <row r="129" spans="1:12" ht="14.4" hidden="1" customHeight="1" x14ac:dyDescent="0.3">
      <c r="A129" t="s">
        <v>38</v>
      </c>
      <c r="B129">
        <v>2020</v>
      </c>
      <c r="C129">
        <v>108</v>
      </c>
      <c r="D129" s="9">
        <v>8.9</v>
      </c>
      <c r="E129" s="10">
        <v>0.88354430379746851</v>
      </c>
      <c r="F129" s="12">
        <f t="shared" si="3"/>
        <v>0.11645569620253149</v>
      </c>
      <c r="L129" s="30"/>
    </row>
    <row r="130" spans="1:12" ht="14.4" hidden="1" customHeight="1" x14ac:dyDescent="0.3">
      <c r="A130" t="s">
        <v>38</v>
      </c>
      <c r="B130">
        <v>2021</v>
      </c>
      <c r="C130">
        <v>99</v>
      </c>
      <c r="D130" s="9">
        <v>8.1</v>
      </c>
      <c r="E130" s="10">
        <v>0.88354430379746851</v>
      </c>
      <c r="F130" s="12">
        <f t="shared" si="3"/>
        <v>0.11645569620253149</v>
      </c>
      <c r="L130" s="30"/>
    </row>
    <row r="131" spans="1:12" hidden="1" x14ac:dyDescent="0.3">
      <c r="A131" t="s">
        <v>38</v>
      </c>
      <c r="B131">
        <v>2022</v>
      </c>
      <c r="C131">
        <v>153</v>
      </c>
      <c r="D131" s="9">
        <v>12.4</v>
      </c>
      <c r="E131" s="10">
        <v>0.88354430379746851</v>
      </c>
      <c r="F131" s="12">
        <f t="shared" si="3"/>
        <v>0.11645569620253149</v>
      </c>
      <c r="L131" s="30"/>
    </row>
    <row r="132" spans="1:12" hidden="1" x14ac:dyDescent="0.3">
      <c r="A132" t="s">
        <v>39</v>
      </c>
      <c r="B132">
        <v>2018</v>
      </c>
      <c r="C132">
        <v>36</v>
      </c>
      <c r="D132" s="9">
        <v>1.6666666666666665</v>
      </c>
      <c r="E132" s="10">
        <f>(D136-State_UT[[#This Row],[Rate of Suicide]])/State_UT[[#This Row],[Rate of Suicide]]</f>
        <v>0.32000000000000023</v>
      </c>
      <c r="F132" s="12">
        <f t="shared" si="3"/>
        <v>0.67999999999999972</v>
      </c>
      <c r="L132" s="30"/>
    </row>
    <row r="133" spans="1:12" ht="14.4" hidden="1" customHeight="1" x14ac:dyDescent="0.3">
      <c r="A133" t="s">
        <v>39</v>
      </c>
      <c r="B133">
        <v>2019</v>
      </c>
      <c r="C133">
        <v>41</v>
      </c>
      <c r="D133" s="9">
        <v>1.9</v>
      </c>
      <c r="E133" s="10">
        <v>0.32</v>
      </c>
      <c r="F133" s="12">
        <f t="shared" si="3"/>
        <v>0.67999999999999994</v>
      </c>
      <c r="L133" s="30"/>
    </row>
    <row r="134" spans="1:12" ht="14.4" hidden="1" customHeight="1" x14ac:dyDescent="0.3">
      <c r="A134" t="s">
        <v>39</v>
      </c>
      <c r="B134">
        <v>2020</v>
      </c>
      <c r="C134">
        <v>48</v>
      </c>
      <c r="D134" s="9">
        <v>2.2000000000000002</v>
      </c>
      <c r="E134" s="10">
        <v>0.32</v>
      </c>
      <c r="F134" s="12">
        <f t="shared" si="3"/>
        <v>0.67999999999999994</v>
      </c>
      <c r="L134" s="30"/>
    </row>
    <row r="135" spans="1:12" ht="14.4" hidden="1" customHeight="1" x14ac:dyDescent="0.3">
      <c r="A135" t="s">
        <v>39</v>
      </c>
      <c r="B135">
        <v>2021</v>
      </c>
      <c r="C135">
        <v>43</v>
      </c>
      <c r="D135" s="9">
        <v>2</v>
      </c>
      <c r="E135" s="10">
        <v>0.32</v>
      </c>
      <c r="F135" s="12">
        <f t="shared" si="3"/>
        <v>0.67999999999999994</v>
      </c>
      <c r="L135" s="30"/>
    </row>
    <row r="136" spans="1:12" hidden="1" x14ac:dyDescent="0.3">
      <c r="A136" t="s">
        <v>39</v>
      </c>
      <c r="B136">
        <v>2022</v>
      </c>
      <c r="C136">
        <v>49</v>
      </c>
      <c r="D136" s="9">
        <v>2.2000000000000002</v>
      </c>
      <c r="E136" s="10">
        <v>0.32</v>
      </c>
      <c r="F136" s="12">
        <f t="shared" si="3"/>
        <v>0.67999999999999994</v>
      </c>
      <c r="L136" s="30"/>
    </row>
    <row r="137" spans="1:12" hidden="1" x14ac:dyDescent="0.3">
      <c r="A137" t="s">
        <v>40</v>
      </c>
      <c r="B137">
        <v>2018</v>
      </c>
      <c r="C137">
        <v>4592</v>
      </c>
      <c r="D137" s="9">
        <v>10.500800365881545</v>
      </c>
      <c r="E137" s="10">
        <f>(D141-State_UT[[#This Row],[Rate of Suicide]])/State_UT[[#This Row],[Rate of Suicide]]</f>
        <v>0.26657012195121965</v>
      </c>
      <c r="F137" s="12">
        <f t="shared" si="3"/>
        <v>0.73342987804878035</v>
      </c>
      <c r="L137" s="30"/>
    </row>
    <row r="138" spans="1:12" ht="14.4" hidden="1" customHeight="1" x14ac:dyDescent="0.3">
      <c r="A138" t="s">
        <v>40</v>
      </c>
      <c r="B138">
        <v>2019</v>
      </c>
      <c r="C138">
        <v>4582</v>
      </c>
      <c r="D138" s="9">
        <v>10.5</v>
      </c>
      <c r="E138" s="10">
        <v>0.27</v>
      </c>
      <c r="F138" s="12">
        <f t="shared" si="3"/>
        <v>0.73</v>
      </c>
      <c r="L138" s="30"/>
    </row>
    <row r="139" spans="1:12" ht="14.4" hidden="1" customHeight="1" x14ac:dyDescent="0.3">
      <c r="A139" t="s">
        <v>40</v>
      </c>
      <c r="B139">
        <v>2020</v>
      </c>
      <c r="C139">
        <v>5546</v>
      </c>
      <c r="D139" s="9">
        <v>12.2</v>
      </c>
      <c r="E139" s="10">
        <v>0.27</v>
      </c>
      <c r="F139" s="12">
        <f t="shared" si="3"/>
        <v>0.73</v>
      </c>
      <c r="L139" s="30"/>
    </row>
    <row r="140" spans="1:12" ht="14.4" hidden="1" customHeight="1" x14ac:dyDescent="0.3">
      <c r="A140" t="s">
        <v>40</v>
      </c>
      <c r="B140">
        <v>2021</v>
      </c>
      <c r="C140">
        <v>5651</v>
      </c>
      <c r="D140" s="9">
        <v>12.3</v>
      </c>
      <c r="E140" s="10">
        <v>0.27</v>
      </c>
      <c r="F140" s="12">
        <f t="shared" si="3"/>
        <v>0.73</v>
      </c>
      <c r="L140" s="30"/>
    </row>
    <row r="141" spans="1:12" hidden="1" x14ac:dyDescent="0.3">
      <c r="A141" t="s">
        <v>40</v>
      </c>
      <c r="B141">
        <v>2022</v>
      </c>
      <c r="C141">
        <v>6140</v>
      </c>
      <c r="D141" s="9">
        <v>13.3</v>
      </c>
      <c r="E141" s="10">
        <v>0.27</v>
      </c>
      <c r="F141" s="12">
        <f t="shared" si="3"/>
        <v>0.73</v>
      </c>
      <c r="L141" s="30"/>
    </row>
    <row r="142" spans="1:12" hidden="1" x14ac:dyDescent="0.3">
      <c r="A142" t="s">
        <v>55</v>
      </c>
      <c r="B142">
        <v>2018</v>
      </c>
      <c r="C142">
        <v>500</v>
      </c>
      <c r="D142" s="9">
        <v>32.894736842105267</v>
      </c>
      <c r="E142" s="10">
        <f>(D146-State_UT[[#This Row],[Rate of Suicide]])/State_UT[[#This Row],[Rate of Suicide]]</f>
        <v>-9.7120000000000137E-2</v>
      </c>
      <c r="F142" s="12">
        <v>0.9</v>
      </c>
      <c r="L142" s="30"/>
    </row>
    <row r="143" spans="1:12" ht="14.4" hidden="1" customHeight="1" x14ac:dyDescent="0.3">
      <c r="A143" t="s">
        <v>55</v>
      </c>
      <c r="B143">
        <v>2019</v>
      </c>
      <c r="C143">
        <v>493</v>
      </c>
      <c r="D143" s="9">
        <v>32.5</v>
      </c>
      <c r="E143" s="10">
        <v>-0.1</v>
      </c>
      <c r="F143" s="12">
        <v>0.9</v>
      </c>
      <c r="L143" s="30"/>
    </row>
    <row r="144" spans="1:12" ht="14.4" hidden="1" customHeight="1" x14ac:dyDescent="0.3">
      <c r="A144" t="s">
        <v>55</v>
      </c>
      <c r="B144">
        <v>2020</v>
      </c>
      <c r="C144">
        <v>408</v>
      </c>
      <c r="D144" s="9">
        <v>26.3</v>
      </c>
      <c r="E144" s="10">
        <v>-0.1</v>
      </c>
      <c r="F144" s="12">
        <v>0.9</v>
      </c>
      <c r="L144" s="30"/>
    </row>
    <row r="145" spans="1:12" ht="14.4" hidden="1" customHeight="1" x14ac:dyDescent="0.3">
      <c r="A145" t="s">
        <v>55</v>
      </c>
      <c r="B145">
        <v>2021</v>
      </c>
      <c r="C145">
        <v>504</v>
      </c>
      <c r="D145" s="9">
        <v>31.8</v>
      </c>
      <c r="E145" s="10">
        <v>-0.1</v>
      </c>
      <c r="F145" s="12">
        <v>0.9</v>
      </c>
      <c r="L145" s="30"/>
    </row>
    <row r="146" spans="1:12" hidden="1" x14ac:dyDescent="0.3">
      <c r="A146" t="s">
        <v>55</v>
      </c>
      <c r="B146">
        <v>2022</v>
      </c>
      <c r="C146">
        <v>481</v>
      </c>
      <c r="D146" s="9">
        <v>29.7</v>
      </c>
      <c r="E146" s="10">
        <v>-0.1</v>
      </c>
      <c r="F146" s="12">
        <v>0.9</v>
      </c>
      <c r="L146" s="30"/>
    </row>
    <row r="147" spans="1:12" hidden="1" x14ac:dyDescent="0.3">
      <c r="A147" t="s">
        <v>41</v>
      </c>
      <c r="B147">
        <v>2018</v>
      </c>
      <c r="C147">
        <v>1714</v>
      </c>
      <c r="D147" s="9">
        <v>5.724782899131597</v>
      </c>
      <c r="E147" s="10">
        <f>(D151-State_UT[[#This Row],[Rate of Suicide]])/State_UT[[#This Row],[Rate of Suicide]]</f>
        <v>0.39743290548424726</v>
      </c>
      <c r="F147" s="12">
        <f t="shared" si="3"/>
        <v>0.60256709451575274</v>
      </c>
      <c r="L147" s="30"/>
    </row>
    <row r="148" spans="1:12" ht="14.4" hidden="1" customHeight="1" x14ac:dyDescent="0.3">
      <c r="A148" t="s">
        <v>41</v>
      </c>
      <c r="B148">
        <v>2019</v>
      </c>
      <c r="C148">
        <v>2357</v>
      </c>
      <c r="D148" s="9">
        <v>7.9</v>
      </c>
      <c r="E148" s="10">
        <v>0.4</v>
      </c>
      <c r="F148" s="12">
        <f t="shared" si="3"/>
        <v>0.6</v>
      </c>
      <c r="L148" s="30"/>
    </row>
    <row r="149" spans="1:12" ht="14.4" hidden="1" customHeight="1" x14ac:dyDescent="0.3">
      <c r="A149" t="s">
        <v>41</v>
      </c>
      <c r="B149">
        <v>2020</v>
      </c>
      <c r="C149">
        <v>2616</v>
      </c>
      <c r="D149" s="9">
        <v>8.6999999999999993</v>
      </c>
      <c r="E149" s="10">
        <v>0.4</v>
      </c>
      <c r="F149" s="12">
        <f t="shared" si="3"/>
        <v>0.6</v>
      </c>
      <c r="L149" s="30"/>
    </row>
    <row r="150" spans="1:12" ht="14.4" hidden="1" customHeight="1" x14ac:dyDescent="0.3">
      <c r="A150" t="s">
        <v>41</v>
      </c>
      <c r="B150">
        <v>2021</v>
      </c>
      <c r="C150">
        <v>2600</v>
      </c>
      <c r="D150" s="9">
        <v>8.6</v>
      </c>
      <c r="E150" s="10">
        <v>0.4</v>
      </c>
      <c r="F150" s="12">
        <f t="shared" si="3"/>
        <v>0.6</v>
      </c>
      <c r="L150" s="30"/>
    </row>
    <row r="151" spans="1:12" hidden="1" x14ac:dyDescent="0.3">
      <c r="A151" t="s">
        <v>41</v>
      </c>
      <c r="B151">
        <v>2022</v>
      </c>
      <c r="C151">
        <v>2441</v>
      </c>
      <c r="D151" s="9">
        <v>8</v>
      </c>
      <c r="E151" s="10">
        <v>0.4</v>
      </c>
      <c r="F151" s="12">
        <f t="shared" si="3"/>
        <v>0.6</v>
      </c>
      <c r="L151" s="30"/>
    </row>
    <row r="152" spans="1:12" hidden="1" x14ac:dyDescent="0.3">
      <c r="A152" t="s">
        <v>42</v>
      </c>
      <c r="B152">
        <v>2018</v>
      </c>
      <c r="C152">
        <v>4333</v>
      </c>
      <c r="D152" s="9">
        <v>5.5837628865979383</v>
      </c>
      <c r="E152" s="10">
        <f>(D156-State_UT[[#This Row],[Rate of Suicide]])/State_UT[[#This Row],[Rate of Suicide]]</f>
        <v>0.18199861527809821</v>
      </c>
      <c r="F152" s="12">
        <f t="shared" si="3"/>
        <v>0.81800138472190176</v>
      </c>
      <c r="L152" s="30"/>
    </row>
    <row r="153" spans="1:12" ht="14.4" hidden="1" customHeight="1" x14ac:dyDescent="0.3">
      <c r="A153" t="s">
        <v>42</v>
      </c>
      <c r="B153">
        <v>2019</v>
      </c>
      <c r="C153">
        <v>4531</v>
      </c>
      <c r="D153" s="9">
        <v>5.8</v>
      </c>
      <c r="E153" s="10">
        <v>0.18</v>
      </c>
      <c r="F153" s="12">
        <f t="shared" si="3"/>
        <v>0.82000000000000006</v>
      </c>
      <c r="L153" s="30"/>
    </row>
    <row r="154" spans="1:12" ht="14.4" hidden="1" customHeight="1" x14ac:dyDescent="0.3">
      <c r="A154" t="s">
        <v>42</v>
      </c>
      <c r="B154">
        <v>2020</v>
      </c>
      <c r="C154">
        <v>5658</v>
      </c>
      <c r="D154" s="9">
        <v>7.2</v>
      </c>
      <c r="E154" s="10">
        <v>0.18</v>
      </c>
      <c r="F154" s="12">
        <f t="shared" si="3"/>
        <v>0.82000000000000006</v>
      </c>
      <c r="L154" s="30"/>
    </row>
    <row r="155" spans="1:12" ht="14.4" hidden="1" customHeight="1" x14ac:dyDescent="0.3">
      <c r="A155" t="s">
        <v>42</v>
      </c>
      <c r="B155">
        <v>2021</v>
      </c>
      <c r="C155">
        <v>5593</v>
      </c>
      <c r="D155" s="9">
        <v>7</v>
      </c>
      <c r="E155" s="10">
        <v>0.18</v>
      </c>
      <c r="F155" s="12">
        <f t="shared" si="3"/>
        <v>0.82000000000000006</v>
      </c>
      <c r="L155" s="30"/>
    </row>
    <row r="156" spans="1:12" hidden="1" x14ac:dyDescent="0.3">
      <c r="A156" t="s">
        <v>42</v>
      </c>
      <c r="B156">
        <v>2022</v>
      </c>
      <c r="C156">
        <v>5343</v>
      </c>
      <c r="D156" s="9">
        <v>6.6</v>
      </c>
      <c r="E156" s="10">
        <v>0.18</v>
      </c>
      <c r="F156" s="12">
        <f t="shared" si="3"/>
        <v>0.82000000000000006</v>
      </c>
      <c r="L156" s="30"/>
    </row>
    <row r="157" spans="1:12" hidden="1" x14ac:dyDescent="0.3">
      <c r="A157" t="s">
        <v>43</v>
      </c>
      <c r="B157">
        <v>2018</v>
      </c>
      <c r="C157">
        <v>199</v>
      </c>
      <c r="D157" s="9">
        <v>29.701492537313431</v>
      </c>
      <c r="E157" s="10">
        <f>(D161-State_UT[[#This Row],[Rate of Suicide]])/State_UT[[#This Row],[Rate of Suicide]]</f>
        <v>0.45110552763819106</v>
      </c>
      <c r="F157" s="12">
        <f t="shared" si="3"/>
        <v>0.54889447236180899</v>
      </c>
      <c r="L157" s="30"/>
    </row>
    <row r="158" spans="1:12" ht="14.4" hidden="1" customHeight="1" x14ac:dyDescent="0.3">
      <c r="A158" t="s">
        <v>43</v>
      </c>
      <c r="B158">
        <v>2019</v>
      </c>
      <c r="C158">
        <v>220</v>
      </c>
      <c r="D158" s="9">
        <v>33.1</v>
      </c>
      <c r="E158" s="10">
        <v>0.45</v>
      </c>
      <c r="F158" s="12">
        <f t="shared" si="3"/>
        <v>0.55000000000000004</v>
      </c>
      <c r="L158" s="30"/>
    </row>
    <row r="159" spans="1:12" ht="14.4" hidden="1" customHeight="1" x14ac:dyDescent="0.3">
      <c r="A159" t="s">
        <v>43</v>
      </c>
      <c r="B159">
        <v>2020</v>
      </c>
      <c r="C159">
        <v>285</v>
      </c>
      <c r="D159" s="9">
        <v>42.5</v>
      </c>
      <c r="E159" s="10">
        <v>0.45</v>
      </c>
      <c r="F159" s="12">
        <f t="shared" si="3"/>
        <v>0.55000000000000004</v>
      </c>
      <c r="L159" s="30"/>
    </row>
    <row r="160" spans="1:12" ht="14.4" hidden="1" customHeight="1" x14ac:dyDescent="0.3">
      <c r="A160" t="s">
        <v>43</v>
      </c>
      <c r="B160">
        <v>2021</v>
      </c>
      <c r="C160">
        <v>266</v>
      </c>
      <c r="D160" s="9">
        <v>39.200000000000003</v>
      </c>
      <c r="E160" s="10">
        <v>0.45</v>
      </c>
      <c r="F160" s="12">
        <f t="shared" si="3"/>
        <v>0.55000000000000004</v>
      </c>
      <c r="L160" s="30"/>
    </row>
    <row r="161" spans="1:12" hidden="1" x14ac:dyDescent="0.3">
      <c r="A161" t="s">
        <v>43</v>
      </c>
      <c r="B161">
        <v>2022</v>
      </c>
      <c r="C161">
        <v>293</v>
      </c>
      <c r="D161" s="9">
        <v>43.1</v>
      </c>
      <c r="E161" s="10">
        <v>0.45</v>
      </c>
      <c r="F161" s="12">
        <f t="shared" si="3"/>
        <v>0.55000000000000004</v>
      </c>
      <c r="L161" s="30"/>
    </row>
    <row r="162" spans="1:12" hidden="1" x14ac:dyDescent="0.3">
      <c r="A162" t="s">
        <v>44</v>
      </c>
      <c r="B162">
        <v>2018</v>
      </c>
      <c r="C162">
        <v>13896</v>
      </c>
      <c r="D162" s="9">
        <v>18.330035615354173</v>
      </c>
      <c r="E162" s="10">
        <f>(D166-State_UT[[#This Row],[Rate of Suicide]])/State_UT[[#This Row],[Rate of Suicide]]</f>
        <v>0.41298143350604494</v>
      </c>
      <c r="F162" s="12">
        <f t="shared" si="3"/>
        <v>0.58701856649395512</v>
      </c>
      <c r="L162" s="30"/>
    </row>
    <row r="163" spans="1:12" ht="14.4" hidden="1" customHeight="1" x14ac:dyDescent="0.3">
      <c r="A163" t="s">
        <v>44</v>
      </c>
      <c r="B163">
        <v>2019</v>
      </c>
      <c r="C163">
        <v>13493</v>
      </c>
      <c r="D163" s="9">
        <v>17.8</v>
      </c>
      <c r="E163" s="10">
        <v>0.41</v>
      </c>
      <c r="F163" s="12">
        <f t="shared" si="3"/>
        <v>0.59000000000000008</v>
      </c>
      <c r="L163" s="30"/>
    </row>
    <row r="164" spans="1:12" ht="14.4" hidden="1" customHeight="1" x14ac:dyDescent="0.3">
      <c r="A164" t="s">
        <v>44</v>
      </c>
      <c r="B164">
        <v>2020</v>
      </c>
      <c r="C164">
        <v>16883</v>
      </c>
      <c r="D164" s="9">
        <v>22.2</v>
      </c>
      <c r="E164" s="10">
        <v>0.41</v>
      </c>
      <c r="F164" s="12">
        <f t="shared" si="3"/>
        <v>0.59000000000000008</v>
      </c>
      <c r="L164" s="30"/>
    </row>
    <row r="165" spans="1:12" ht="14.4" hidden="1" customHeight="1" x14ac:dyDescent="0.3">
      <c r="A165" t="s">
        <v>44</v>
      </c>
      <c r="B165">
        <v>2021</v>
      </c>
      <c r="C165">
        <v>18925</v>
      </c>
      <c r="D165" s="9">
        <v>24.7</v>
      </c>
      <c r="E165" s="10">
        <v>0.41</v>
      </c>
      <c r="F165" s="12">
        <f t="shared" si="3"/>
        <v>0.59000000000000008</v>
      </c>
      <c r="L165" s="30"/>
    </row>
    <row r="166" spans="1:12" hidden="1" x14ac:dyDescent="0.3">
      <c r="A166" t="s">
        <v>44</v>
      </c>
      <c r="B166">
        <v>2022</v>
      </c>
      <c r="C166">
        <v>19834</v>
      </c>
      <c r="D166" s="9">
        <v>25.9</v>
      </c>
      <c r="E166" s="10">
        <v>0.41</v>
      </c>
      <c r="F166" s="12">
        <f t="shared" si="3"/>
        <v>0.59000000000000008</v>
      </c>
      <c r="L166" s="30"/>
    </row>
    <row r="167" spans="1:12" hidden="1" x14ac:dyDescent="0.3">
      <c r="A167" t="s">
        <v>45</v>
      </c>
      <c r="B167">
        <v>2018</v>
      </c>
      <c r="C167">
        <v>7845</v>
      </c>
      <c r="D167" s="9">
        <v>21.043454935622318</v>
      </c>
      <c r="E167" s="10">
        <f>(D171-State_UT[[#This Row],[Rate of Suicide]])/State_UT[[#This Row],[Rate of Suicide]]</f>
        <v>0.24979477374123646</v>
      </c>
      <c r="F167" s="12">
        <f t="shared" si="3"/>
        <v>0.75020522625876351</v>
      </c>
      <c r="L167" s="30"/>
    </row>
    <row r="168" spans="1:12" ht="14.4" hidden="1" customHeight="1" x14ac:dyDescent="0.3">
      <c r="A168" t="s">
        <v>45</v>
      </c>
      <c r="B168">
        <v>2019</v>
      </c>
      <c r="C168">
        <v>7675</v>
      </c>
      <c r="D168" s="9">
        <v>20.6</v>
      </c>
      <c r="E168" s="10">
        <v>0.25</v>
      </c>
      <c r="F168" s="12">
        <f t="shared" si="3"/>
        <v>0.75</v>
      </c>
      <c r="L168" s="30"/>
    </row>
    <row r="169" spans="1:12" ht="14.4" hidden="1" customHeight="1" x14ac:dyDescent="0.3">
      <c r="A169" t="s">
        <v>45</v>
      </c>
      <c r="B169">
        <v>2020</v>
      </c>
      <c r="C169">
        <v>8058</v>
      </c>
      <c r="D169" s="9">
        <v>21.5</v>
      </c>
      <c r="E169" s="10">
        <v>0.25</v>
      </c>
      <c r="F169" s="12">
        <f t="shared" si="3"/>
        <v>0.75</v>
      </c>
      <c r="L169" s="30"/>
    </row>
    <row r="170" spans="1:12" ht="14.4" hidden="1" customHeight="1" x14ac:dyDescent="0.3">
      <c r="A170" t="s">
        <v>45</v>
      </c>
      <c r="B170">
        <v>2021</v>
      </c>
      <c r="C170">
        <v>10171</v>
      </c>
      <c r="D170" s="9">
        <v>26.3</v>
      </c>
      <c r="E170" s="10">
        <v>0.25</v>
      </c>
      <c r="F170" s="12">
        <f t="shared" si="3"/>
        <v>0.75</v>
      </c>
      <c r="L170" s="30"/>
    </row>
    <row r="171" spans="1:12" hidden="1" x14ac:dyDescent="0.3">
      <c r="A171" t="s">
        <v>45</v>
      </c>
      <c r="B171">
        <v>2022</v>
      </c>
      <c r="C171">
        <v>9980</v>
      </c>
      <c r="D171" s="9">
        <v>26.3</v>
      </c>
      <c r="E171" s="10">
        <v>0.25</v>
      </c>
      <c r="F171" s="12">
        <f t="shared" si="3"/>
        <v>0.75</v>
      </c>
      <c r="L171" s="30"/>
    </row>
    <row r="172" spans="1:12" hidden="1" x14ac:dyDescent="0.3">
      <c r="A172" t="s">
        <v>46</v>
      </c>
      <c r="B172">
        <v>2018</v>
      </c>
      <c r="C172">
        <v>720</v>
      </c>
      <c r="D172" s="9">
        <v>18</v>
      </c>
      <c r="E172" s="10">
        <f>(D176-State_UT[[#This Row],[Rate of Suicide]])/State_UT[[#This Row],[Rate of Suicide]]</f>
        <v>-3.8888888888888848E-2</v>
      </c>
      <c r="F172" s="12">
        <v>0.96</v>
      </c>
      <c r="L172" s="30"/>
    </row>
    <row r="173" spans="1:12" ht="14.4" hidden="1" customHeight="1" x14ac:dyDescent="0.3">
      <c r="A173" t="s">
        <v>46</v>
      </c>
      <c r="B173">
        <v>2019</v>
      </c>
      <c r="C173">
        <v>728</v>
      </c>
      <c r="D173" s="9">
        <v>18.2</v>
      </c>
      <c r="E173" s="10">
        <v>-0.04</v>
      </c>
      <c r="F173" s="12">
        <v>0.96</v>
      </c>
      <c r="L173" s="30"/>
    </row>
    <row r="174" spans="1:12" ht="14.4" hidden="1" customHeight="1" x14ac:dyDescent="0.3">
      <c r="A174" t="s">
        <v>46</v>
      </c>
      <c r="B174">
        <v>2020</v>
      </c>
      <c r="C174">
        <v>845</v>
      </c>
      <c r="D174" s="9">
        <v>20.9</v>
      </c>
      <c r="E174" s="10">
        <v>-0.04</v>
      </c>
      <c r="F174" s="12">
        <v>0.96</v>
      </c>
      <c r="L174" s="30"/>
    </row>
    <row r="175" spans="1:12" ht="14.4" hidden="1" customHeight="1" x14ac:dyDescent="0.3">
      <c r="A175" t="s">
        <v>46</v>
      </c>
      <c r="B175">
        <v>2021</v>
      </c>
      <c r="C175">
        <v>771</v>
      </c>
      <c r="D175" s="9">
        <v>18.899999999999999</v>
      </c>
      <c r="E175" s="10">
        <v>-0.04</v>
      </c>
      <c r="F175" s="12">
        <v>0.96</v>
      </c>
      <c r="L175" s="30"/>
    </row>
    <row r="176" spans="1:12" hidden="1" x14ac:dyDescent="0.3">
      <c r="A176" t="s">
        <v>46</v>
      </c>
      <c r="B176">
        <v>2022</v>
      </c>
      <c r="C176">
        <v>713</v>
      </c>
      <c r="D176" s="9">
        <v>17.3</v>
      </c>
      <c r="E176" s="10">
        <v>-0.04</v>
      </c>
      <c r="F176" s="12">
        <v>0.96</v>
      </c>
      <c r="L176" s="30"/>
    </row>
    <row r="177" spans="1:12" hidden="1" x14ac:dyDescent="0.3">
      <c r="A177" t="s">
        <v>47</v>
      </c>
      <c r="B177">
        <v>2018</v>
      </c>
      <c r="C177">
        <v>4849</v>
      </c>
      <c r="D177" s="9">
        <v>2.1458600699207859</v>
      </c>
      <c r="E177" s="10">
        <f>(D181-State_UT[[#This Row],[Rate of Suicide]])/State_UT[[#This Row],[Rate of Suicide]]</f>
        <v>0.63104763868838942</v>
      </c>
      <c r="F177" s="12">
        <f t="shared" si="3"/>
        <v>0.36895236131161058</v>
      </c>
      <c r="L177" s="30"/>
    </row>
    <row r="178" spans="1:12" ht="14.4" hidden="1" customHeight="1" x14ac:dyDescent="0.3">
      <c r="A178" t="s">
        <v>47</v>
      </c>
      <c r="B178">
        <v>2019</v>
      </c>
      <c r="C178">
        <v>5464</v>
      </c>
      <c r="D178" s="9">
        <v>2.4</v>
      </c>
      <c r="E178" s="10">
        <v>0.63</v>
      </c>
      <c r="F178" s="12">
        <f t="shared" si="3"/>
        <v>0.37</v>
      </c>
      <c r="L178" s="30"/>
    </row>
    <row r="179" spans="1:12" ht="14.4" hidden="1" customHeight="1" x14ac:dyDescent="0.3">
      <c r="A179" t="s">
        <v>47</v>
      </c>
      <c r="B179">
        <v>2020</v>
      </c>
      <c r="C179">
        <v>4804</v>
      </c>
      <c r="D179" s="9">
        <v>2.1</v>
      </c>
      <c r="E179" s="10">
        <v>0.63</v>
      </c>
      <c r="F179" s="12">
        <f t="shared" si="3"/>
        <v>0.37</v>
      </c>
      <c r="L179" s="30"/>
    </row>
    <row r="180" spans="1:12" ht="14.4" hidden="1" customHeight="1" x14ac:dyDescent="0.3">
      <c r="A180" t="s">
        <v>47</v>
      </c>
      <c r="B180">
        <v>2021</v>
      </c>
      <c r="C180">
        <v>5932</v>
      </c>
      <c r="D180" s="9">
        <v>2.6</v>
      </c>
      <c r="E180" s="10">
        <v>0.63</v>
      </c>
      <c r="F180" s="12">
        <f t="shared" si="3"/>
        <v>0.37</v>
      </c>
      <c r="L180" s="30"/>
    </row>
    <row r="181" spans="1:12" hidden="1" x14ac:dyDescent="0.3">
      <c r="A181" t="s">
        <v>47</v>
      </c>
      <c r="B181">
        <v>2022</v>
      </c>
      <c r="C181">
        <v>8176</v>
      </c>
      <c r="D181" s="9">
        <v>3.5</v>
      </c>
      <c r="E181" s="10">
        <v>0.63</v>
      </c>
      <c r="F181" s="12">
        <f t="shared" si="3"/>
        <v>0.37</v>
      </c>
      <c r="L181" s="30"/>
    </row>
    <row r="182" spans="1:12" hidden="1" x14ac:dyDescent="0.3">
      <c r="A182" t="s">
        <v>48</v>
      </c>
      <c r="B182">
        <v>2018</v>
      </c>
      <c r="C182">
        <v>421</v>
      </c>
      <c r="D182" s="9">
        <v>3.7656529516994635</v>
      </c>
      <c r="E182" s="10">
        <f>(D186-State_UT[[#This Row],[Rate of Suicide]])/State_UT[[#This Row],[Rate of Suicide]]</f>
        <v>0.85890736342042751</v>
      </c>
      <c r="F182" s="12">
        <f t="shared" si="3"/>
        <v>0.14109263657957249</v>
      </c>
      <c r="L182" s="30"/>
    </row>
    <row r="183" spans="1:12" ht="14.4" hidden="1" customHeight="1" x14ac:dyDescent="0.3">
      <c r="A183" t="s">
        <v>48</v>
      </c>
      <c r="B183">
        <v>2019</v>
      </c>
      <c r="C183">
        <v>516</v>
      </c>
      <c r="D183" s="9">
        <v>4.5999999999999996</v>
      </c>
      <c r="E183" s="10">
        <v>0.86</v>
      </c>
      <c r="F183" s="12">
        <f t="shared" si="3"/>
        <v>0.14000000000000001</v>
      </c>
      <c r="L183" s="30"/>
    </row>
    <row r="184" spans="1:12" ht="14.4" hidden="1" customHeight="1" x14ac:dyDescent="0.3">
      <c r="A184" t="s">
        <v>48</v>
      </c>
      <c r="B184">
        <v>2020</v>
      </c>
      <c r="C184">
        <v>943</v>
      </c>
      <c r="D184" s="9">
        <v>8.3000000000000007</v>
      </c>
      <c r="E184" s="10">
        <v>0.86</v>
      </c>
      <c r="F184" s="12">
        <f t="shared" si="3"/>
        <v>0.14000000000000001</v>
      </c>
      <c r="L184" s="30"/>
    </row>
    <row r="185" spans="1:12" ht="14.4" hidden="1" customHeight="1" x14ac:dyDescent="0.3">
      <c r="A185" t="s">
        <v>48</v>
      </c>
      <c r="B185">
        <v>2021</v>
      </c>
      <c r="C185">
        <v>717</v>
      </c>
      <c r="D185" s="9">
        <v>6.3</v>
      </c>
      <c r="E185" s="10">
        <v>0.86</v>
      </c>
      <c r="F185" s="12">
        <f t="shared" ref="F185:F186" si="4">1-E185</f>
        <v>0.14000000000000001</v>
      </c>
      <c r="L185" s="30"/>
    </row>
    <row r="186" spans="1:12" hidden="1" x14ac:dyDescent="0.3">
      <c r="A186" t="s">
        <v>48</v>
      </c>
      <c r="B186">
        <v>2022</v>
      </c>
      <c r="C186">
        <v>814</v>
      </c>
      <c r="D186" s="9">
        <v>7</v>
      </c>
      <c r="E186" s="10">
        <v>0.86</v>
      </c>
      <c r="F186" s="12">
        <f t="shared" si="4"/>
        <v>0.14000000000000001</v>
      </c>
      <c r="L186" s="30"/>
    </row>
    <row r="187" spans="1:12" hidden="1" x14ac:dyDescent="0.3">
      <c r="A187" t="s">
        <v>49</v>
      </c>
      <c r="B187">
        <v>2018</v>
      </c>
      <c r="C187">
        <v>13255</v>
      </c>
      <c r="D187" s="9">
        <v>13.64946967356606</v>
      </c>
      <c r="E187" s="10">
        <f>(D191-State_UT[[#This Row],[Rate of Suicide]])/State_UT[[#This Row],[Rate of Suicide]]</f>
        <v>-6.223462844209731E-2</v>
      </c>
      <c r="F187" s="12">
        <v>0.94</v>
      </c>
      <c r="L187" s="30"/>
    </row>
    <row r="188" spans="1:12" ht="14.4" hidden="1" customHeight="1" x14ac:dyDescent="0.3">
      <c r="A188" t="s">
        <v>49</v>
      </c>
      <c r="B188">
        <v>2019</v>
      </c>
      <c r="C188">
        <v>12665</v>
      </c>
      <c r="D188" s="9">
        <v>13</v>
      </c>
      <c r="E188" s="10">
        <v>-0.06</v>
      </c>
      <c r="F188" s="12">
        <v>0.94</v>
      </c>
      <c r="L188" s="30"/>
    </row>
    <row r="189" spans="1:12" ht="14.4" hidden="1" customHeight="1" x14ac:dyDescent="0.3">
      <c r="A189" t="s">
        <v>49</v>
      </c>
      <c r="B189">
        <v>2020</v>
      </c>
      <c r="C189">
        <v>13103</v>
      </c>
      <c r="D189" s="9">
        <v>13.4</v>
      </c>
      <c r="E189" s="10">
        <v>-0.06</v>
      </c>
      <c r="F189" s="12">
        <v>0.94</v>
      </c>
      <c r="L189" s="30"/>
    </row>
    <row r="190" spans="1:12" ht="14.4" hidden="1" customHeight="1" x14ac:dyDescent="0.3">
      <c r="A190" t="s">
        <v>49</v>
      </c>
      <c r="B190">
        <v>2021</v>
      </c>
      <c r="C190">
        <v>13500</v>
      </c>
      <c r="D190" s="9">
        <v>13.7</v>
      </c>
      <c r="E190" s="10">
        <v>-0.06</v>
      </c>
      <c r="F190" s="12">
        <v>0.94</v>
      </c>
      <c r="L190" s="30"/>
    </row>
    <row r="191" spans="1:12" hidden="1" x14ac:dyDescent="0.3">
      <c r="A191" t="s">
        <v>49</v>
      </c>
      <c r="B191">
        <v>2022</v>
      </c>
      <c r="C191">
        <v>12669</v>
      </c>
      <c r="D191" s="9">
        <v>12.8</v>
      </c>
      <c r="E191" s="10">
        <v>-0.06</v>
      </c>
      <c r="F191" s="12">
        <v>0.94</v>
      </c>
      <c r="L191" s="30"/>
    </row>
  </sheetData>
  <mergeCells count="38">
    <mergeCell ref="L172:L176"/>
    <mergeCell ref="L177:L181"/>
    <mergeCell ref="L182:L186"/>
    <mergeCell ref="L187:L191"/>
    <mergeCell ref="L147:L151"/>
    <mergeCell ref="L152:L156"/>
    <mergeCell ref="L157:L161"/>
    <mergeCell ref="L162:L166"/>
    <mergeCell ref="L167:L171"/>
    <mergeCell ref="L122:L126"/>
    <mergeCell ref="L127:L131"/>
    <mergeCell ref="L132:L136"/>
    <mergeCell ref="L137:L141"/>
    <mergeCell ref="L142:L146"/>
    <mergeCell ref="L97:L101"/>
    <mergeCell ref="L102:L106"/>
    <mergeCell ref="L107:L111"/>
    <mergeCell ref="L112:L116"/>
    <mergeCell ref="L117:L121"/>
    <mergeCell ref="L72:L76"/>
    <mergeCell ref="L77:L81"/>
    <mergeCell ref="L82:L86"/>
    <mergeCell ref="L87:L91"/>
    <mergeCell ref="L92:L96"/>
    <mergeCell ref="L2:L6"/>
    <mergeCell ref="L7:L11"/>
    <mergeCell ref="L12:L16"/>
    <mergeCell ref="L17:L21"/>
    <mergeCell ref="L22:L26"/>
    <mergeCell ref="L52:L56"/>
    <mergeCell ref="L57:L61"/>
    <mergeCell ref="L62:L66"/>
    <mergeCell ref="L67:L71"/>
    <mergeCell ref="L27:L31"/>
    <mergeCell ref="L32:L36"/>
    <mergeCell ref="L37:L41"/>
    <mergeCell ref="L42:L46"/>
    <mergeCell ref="L47:L51"/>
  </mergeCells>
  <pageMargins left="0.7" right="0.7" top="0.75" bottom="0.75" header="0.3" footer="0.3"/>
  <tableParts count="2">
    <tablePart r:id="rId1"/>
    <tablePart r:id="rId2"/>
  </tableParts>
  <extLst>
    <ext xmlns:x14="http://schemas.microsoft.com/office/spreadsheetml/2009/9/main" uri="{05C60535-1F16-4fd2-B633-F4F36F0B64E0}">
      <x14:sparklineGroups xmlns:xm="http://schemas.microsoft.com/office/excel/2006/main">
        <x14:sparklineGroup displayEmptyCellsAs="gap" xr2:uid="{0E356E19-DF38-4EF7-AA9A-5BB2BAF66048}">
          <x14:colorSeries rgb="FF376092"/>
          <x14:colorNegative rgb="FFD00000"/>
          <x14:colorAxis rgb="FF000000"/>
          <x14:colorMarkers rgb="FFD00000"/>
          <x14:colorFirst rgb="FFD00000"/>
          <x14:colorLast rgb="FFD00000"/>
          <x14:colorHigh rgb="FFD00000"/>
          <x14:colorLow rgb="FFD00000"/>
          <x14:sparklines>
            <x14:sparkline>
              <xm:f>'State,UT'!E2:F2</xm:f>
              <xm:sqref>J2</xm:sqref>
            </x14:sparkline>
          </x14:sparklines>
        </x14:sparklineGroup>
        <x14:sparklineGroup manualMax="0" manualMin="0" type="stacked" displayEmptyCellsAs="gap" negative="1" xr2:uid="{9E6C5983-0AE0-4E6F-8F0F-A8B63B3C56C9}">
          <x14:colorSeries rgb="FF376092"/>
          <x14:colorNegative rgb="FFD00000"/>
          <x14:colorAxis rgb="FF000000"/>
          <x14:colorMarkers rgb="FFD00000"/>
          <x14:colorFirst rgb="FFD00000"/>
          <x14:colorLast rgb="FFD00000"/>
          <x14:colorHigh rgb="FFD00000"/>
          <x14:colorLow rgb="FFD00000"/>
          <x14:sparklines>
            <x14:sparkline>
              <xm:f>'State,UT'!E2:E6</xm:f>
              <xm:sqref>G2</xm:sqref>
            </x14:sparkline>
            <x14:sparkline>
              <xm:f>'State,UT'!F2:F6</xm:f>
              <xm:sqref>H2</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F4A5-3098-4F64-B6C4-FF8529940AA2}">
  <dimension ref="A1:K57"/>
  <sheetViews>
    <sheetView zoomScale="78" zoomScaleNormal="78" workbookViewId="0">
      <selection activeCell="B43" sqref="B43"/>
    </sheetView>
  </sheetViews>
  <sheetFormatPr defaultRowHeight="14.4" x14ac:dyDescent="0.3"/>
  <cols>
    <col min="1" max="1" width="15" bestFit="1" customWidth="1"/>
    <col min="2" max="2" width="16.77734375" bestFit="1" customWidth="1"/>
    <col min="4" max="4" width="31.88671875" bestFit="1" customWidth="1"/>
    <col min="5" max="5" width="15.21875" bestFit="1" customWidth="1"/>
    <col min="7" max="7" width="19.6640625" bestFit="1" customWidth="1"/>
    <col min="8" max="8" width="15.21875" bestFit="1" customWidth="1"/>
    <col min="10" max="10" width="20.44140625" bestFit="1" customWidth="1"/>
    <col min="11" max="11" width="15.21875" bestFit="1" customWidth="1"/>
    <col min="13" max="13" width="20.21875" bestFit="1" customWidth="1"/>
    <col min="14" max="14" width="16.77734375" bestFit="1" customWidth="1"/>
  </cols>
  <sheetData>
    <row r="1" spans="1:11" x14ac:dyDescent="0.3">
      <c r="A1" s="14" t="s">
        <v>0</v>
      </c>
      <c r="B1" t="s" vm="1">
        <v>107</v>
      </c>
      <c r="D1" s="14" t="s">
        <v>0</v>
      </c>
      <c r="E1" t="s" vm="1">
        <v>107</v>
      </c>
      <c r="G1" s="14" t="s">
        <v>0</v>
      </c>
      <c r="H1" t="s" vm="1">
        <v>107</v>
      </c>
      <c r="J1" s="14" t="s">
        <v>0</v>
      </c>
      <c r="K1" t="s" vm="1">
        <v>107</v>
      </c>
    </row>
    <row r="2" spans="1:11" x14ac:dyDescent="0.3">
      <c r="A2" s="14" t="s">
        <v>117</v>
      </c>
      <c r="B2" t="s" vm="2">
        <v>107</v>
      </c>
      <c r="D2" s="14" t="s">
        <v>117</v>
      </c>
      <c r="E2" t="s" vm="2">
        <v>107</v>
      </c>
      <c r="G2" s="14" t="s">
        <v>117</v>
      </c>
      <c r="H2" t="s" vm="2">
        <v>107</v>
      </c>
      <c r="J2" s="14" t="s">
        <v>117</v>
      </c>
      <c r="K2" t="s" vm="2">
        <v>107</v>
      </c>
    </row>
    <row r="4" spans="1:11" x14ac:dyDescent="0.3">
      <c r="A4" s="14" t="s">
        <v>110</v>
      </c>
      <c r="B4" t="s">
        <v>109</v>
      </c>
      <c r="D4" s="14" t="s">
        <v>1</v>
      </c>
      <c r="E4" t="s">
        <v>109</v>
      </c>
      <c r="G4" s="14" t="s">
        <v>87</v>
      </c>
      <c r="H4" t="s">
        <v>109</v>
      </c>
      <c r="J4" s="14" t="s">
        <v>111</v>
      </c>
      <c r="K4" t="s">
        <v>109</v>
      </c>
    </row>
    <row r="5" spans="1:11" x14ac:dyDescent="0.3">
      <c r="A5" s="15" t="s">
        <v>7</v>
      </c>
      <c r="B5" s="37">
        <v>112133</v>
      </c>
      <c r="D5" s="15" t="s">
        <v>12</v>
      </c>
      <c r="E5" s="37">
        <v>30</v>
      </c>
      <c r="G5" s="15" t="s">
        <v>91</v>
      </c>
      <c r="H5" s="37">
        <v>55502</v>
      </c>
      <c r="J5" s="15" t="s">
        <v>18</v>
      </c>
      <c r="K5" s="37">
        <v>114484</v>
      </c>
    </row>
    <row r="6" spans="1:11" x14ac:dyDescent="0.3">
      <c r="A6" s="15" t="s">
        <v>103</v>
      </c>
      <c r="B6" s="37">
        <v>33640</v>
      </c>
      <c r="D6" s="15" t="s">
        <v>77</v>
      </c>
      <c r="E6" s="37">
        <v>38</v>
      </c>
      <c r="G6" s="15" t="s">
        <v>90</v>
      </c>
      <c r="H6" s="37">
        <v>40899</v>
      </c>
      <c r="J6" s="15" t="s">
        <v>64</v>
      </c>
      <c r="K6" s="37">
        <v>42048</v>
      </c>
    </row>
    <row r="7" spans="1:11" x14ac:dyDescent="0.3">
      <c r="A7" s="15" t="s">
        <v>13</v>
      </c>
      <c r="B7" s="37">
        <v>7651</v>
      </c>
      <c r="D7" s="15" t="s">
        <v>5</v>
      </c>
      <c r="E7" s="37">
        <v>174</v>
      </c>
      <c r="G7" s="15" t="s">
        <v>89</v>
      </c>
      <c r="H7" s="37">
        <v>27190</v>
      </c>
      <c r="J7" s="15" t="s">
        <v>66</v>
      </c>
      <c r="K7" s="37">
        <v>9913</v>
      </c>
    </row>
    <row r="8" spans="1:11" x14ac:dyDescent="0.3">
      <c r="A8" s="15" t="s">
        <v>59</v>
      </c>
      <c r="B8" s="37">
        <v>6586</v>
      </c>
      <c r="D8" s="15" t="s">
        <v>75</v>
      </c>
      <c r="E8" s="37">
        <v>376</v>
      </c>
      <c r="G8" s="15" t="s">
        <v>21</v>
      </c>
      <c r="H8" s="37">
        <v>19590</v>
      </c>
      <c r="J8" s="15" t="s">
        <v>19</v>
      </c>
      <c r="K8" s="37">
        <v>2519</v>
      </c>
    </row>
    <row r="9" spans="1:11" x14ac:dyDescent="0.3">
      <c r="A9" s="15" t="s">
        <v>105</v>
      </c>
      <c r="B9" s="37">
        <v>4583</v>
      </c>
      <c r="D9" s="15" t="s">
        <v>3</v>
      </c>
      <c r="E9" s="37">
        <v>580</v>
      </c>
      <c r="G9" s="15" t="s">
        <v>62</v>
      </c>
      <c r="H9" s="37">
        <v>15447</v>
      </c>
      <c r="J9" s="15" t="s">
        <v>65</v>
      </c>
      <c r="K9" s="37">
        <v>1000</v>
      </c>
    </row>
    <row r="10" spans="1:11" x14ac:dyDescent="0.3">
      <c r="A10" s="15" t="s">
        <v>104</v>
      </c>
      <c r="B10" s="37">
        <v>4045</v>
      </c>
      <c r="D10" s="15" t="s">
        <v>10</v>
      </c>
      <c r="E10" s="37">
        <v>891</v>
      </c>
      <c r="G10" s="15" t="s">
        <v>61</v>
      </c>
      <c r="H10" s="37">
        <v>8855</v>
      </c>
      <c r="J10" s="15" t="s">
        <v>20</v>
      </c>
      <c r="K10" s="37">
        <v>960</v>
      </c>
    </row>
    <row r="11" spans="1:11" x14ac:dyDescent="0.3">
      <c r="A11" s="15" t="s">
        <v>79</v>
      </c>
      <c r="B11" s="37">
        <v>1872</v>
      </c>
      <c r="D11" s="15" t="s">
        <v>74</v>
      </c>
      <c r="E11" s="37">
        <v>1417</v>
      </c>
      <c r="G11" s="15" t="s">
        <v>60</v>
      </c>
      <c r="H11" s="37">
        <v>2741</v>
      </c>
      <c r="J11" s="15" t="s">
        <v>108</v>
      </c>
      <c r="K11" s="37">
        <v>170924</v>
      </c>
    </row>
    <row r="12" spans="1:11" x14ac:dyDescent="0.3">
      <c r="A12" s="15" t="s">
        <v>58</v>
      </c>
      <c r="B12" s="37">
        <v>414</v>
      </c>
      <c r="D12" s="15" t="s">
        <v>15</v>
      </c>
      <c r="E12" s="37">
        <v>1458</v>
      </c>
      <c r="G12" s="15" t="s">
        <v>92</v>
      </c>
      <c r="H12" s="37">
        <v>700</v>
      </c>
    </row>
    <row r="13" spans="1:11" x14ac:dyDescent="0.3">
      <c r="A13" s="15" t="s">
        <v>108</v>
      </c>
      <c r="B13" s="37">
        <v>170924</v>
      </c>
      <c r="D13" s="15" t="s">
        <v>73</v>
      </c>
      <c r="E13" s="37">
        <v>1775</v>
      </c>
      <c r="G13" s="15" t="s">
        <v>108</v>
      </c>
      <c r="H13" s="37">
        <v>170924</v>
      </c>
    </row>
    <row r="14" spans="1:11" x14ac:dyDescent="0.3">
      <c r="A14" s="15"/>
      <c r="D14" s="15" t="s">
        <v>6</v>
      </c>
      <c r="E14" s="37">
        <v>1829</v>
      </c>
    </row>
    <row r="15" spans="1:11" x14ac:dyDescent="0.3">
      <c r="A15" s="15"/>
      <c r="D15" s="15" t="s">
        <v>8</v>
      </c>
      <c r="E15" s="37">
        <v>2078</v>
      </c>
    </row>
    <row r="16" spans="1:11" x14ac:dyDescent="0.3">
      <c r="A16" s="15"/>
      <c r="D16" s="15" t="s">
        <v>9</v>
      </c>
      <c r="E16" s="37">
        <v>2093</v>
      </c>
      <c r="G16" s="14" t="s">
        <v>0</v>
      </c>
      <c r="H16" t="s" vm="1">
        <v>107</v>
      </c>
    </row>
    <row r="17" spans="1:11" x14ac:dyDescent="0.3">
      <c r="A17" s="15"/>
      <c r="D17" s="15" t="s">
        <v>17</v>
      </c>
      <c r="E17" s="37">
        <v>3170</v>
      </c>
      <c r="G17" s="14" t="s">
        <v>117</v>
      </c>
      <c r="H17" t="s" vm="2">
        <v>107</v>
      </c>
      <c r="J17" s="14" t="s">
        <v>111</v>
      </c>
      <c r="K17" t="s">
        <v>109</v>
      </c>
    </row>
    <row r="18" spans="1:11" x14ac:dyDescent="0.3">
      <c r="D18" s="15" t="s">
        <v>81</v>
      </c>
      <c r="E18" s="37">
        <v>5263</v>
      </c>
      <c r="J18" s="15" t="s">
        <v>35</v>
      </c>
      <c r="K18" s="37">
        <v>113730</v>
      </c>
    </row>
    <row r="19" spans="1:11" x14ac:dyDescent="0.3">
      <c r="A19" s="14" t="s">
        <v>86</v>
      </c>
      <c r="B19" t="s" vm="3">
        <v>114</v>
      </c>
      <c r="D19" s="15" t="s">
        <v>14</v>
      </c>
      <c r="E19" s="37">
        <v>7650</v>
      </c>
      <c r="G19" s="14" t="s">
        <v>112</v>
      </c>
      <c r="H19" t="s">
        <v>109</v>
      </c>
      <c r="J19" s="15" t="s">
        <v>44</v>
      </c>
      <c r="K19" s="37">
        <v>99170</v>
      </c>
    </row>
    <row r="20" spans="1:11" x14ac:dyDescent="0.3">
      <c r="A20" s="14" t="s">
        <v>1</v>
      </c>
      <c r="B20" t="s" vm="4">
        <v>107</v>
      </c>
      <c r="D20" s="15" t="s">
        <v>16</v>
      </c>
      <c r="E20" s="37">
        <v>9119</v>
      </c>
      <c r="G20" s="15" t="s">
        <v>71</v>
      </c>
      <c r="H20" s="37">
        <v>45195</v>
      </c>
      <c r="J20" s="15" t="s">
        <v>34</v>
      </c>
      <c r="K20" s="37">
        <v>76930</v>
      </c>
    </row>
    <row r="21" spans="1:11" x14ac:dyDescent="0.3">
      <c r="D21" s="15" t="s">
        <v>76</v>
      </c>
      <c r="E21" s="37">
        <v>11626</v>
      </c>
      <c r="G21" s="15" t="s">
        <v>68</v>
      </c>
      <c r="H21" s="37">
        <v>25307</v>
      </c>
      <c r="J21" s="15" t="s">
        <v>32</v>
      </c>
      <c r="K21" s="37">
        <v>68030</v>
      </c>
    </row>
    <row r="22" spans="1:11" x14ac:dyDescent="0.3">
      <c r="A22" s="14" t="s">
        <v>0</v>
      </c>
      <c r="B22" t="s">
        <v>109</v>
      </c>
      <c r="D22" s="15" t="s">
        <v>80</v>
      </c>
      <c r="E22" s="37">
        <v>31469</v>
      </c>
      <c r="G22" s="15" t="s">
        <v>72</v>
      </c>
      <c r="H22" s="37">
        <v>24468</v>
      </c>
      <c r="J22" s="15" t="s">
        <v>49</v>
      </c>
      <c r="K22" s="37">
        <v>63345</v>
      </c>
    </row>
    <row r="23" spans="1:11" x14ac:dyDescent="0.3">
      <c r="A23" s="15" t="s">
        <v>4</v>
      </c>
      <c r="B23" s="37">
        <v>48191</v>
      </c>
      <c r="D23" s="15" t="s">
        <v>78</v>
      </c>
      <c r="E23" s="37">
        <v>35766</v>
      </c>
      <c r="G23" s="15" t="s">
        <v>84</v>
      </c>
      <c r="H23" s="37">
        <v>19480</v>
      </c>
      <c r="J23" s="15" t="s">
        <v>33</v>
      </c>
      <c r="K23" s="37">
        <v>50810</v>
      </c>
    </row>
    <row r="24" spans="1:11" x14ac:dyDescent="0.3">
      <c r="A24" s="15" t="s">
        <v>2</v>
      </c>
      <c r="B24" s="37">
        <v>122705</v>
      </c>
      <c r="D24" s="15" t="s">
        <v>11</v>
      </c>
      <c r="E24" s="37">
        <v>54122</v>
      </c>
      <c r="G24" s="15" t="s">
        <v>70</v>
      </c>
      <c r="H24" s="37">
        <v>15783</v>
      </c>
      <c r="J24" s="15" t="s">
        <v>45</v>
      </c>
      <c r="K24" s="37">
        <v>49900</v>
      </c>
    </row>
    <row r="25" spans="1:11" x14ac:dyDescent="0.3">
      <c r="A25" s="15" t="s">
        <v>56</v>
      </c>
      <c r="B25" s="37">
        <v>28</v>
      </c>
      <c r="D25" s="15" t="s">
        <v>108</v>
      </c>
      <c r="E25" s="37">
        <v>170924</v>
      </c>
      <c r="G25" s="15" t="s">
        <v>83</v>
      </c>
      <c r="H25" s="37">
        <v>14197</v>
      </c>
      <c r="J25" s="15" t="s">
        <v>28</v>
      </c>
      <c r="K25" s="37">
        <v>45010</v>
      </c>
    </row>
    <row r="26" spans="1:11" x14ac:dyDescent="0.3">
      <c r="A26" s="15" t="s">
        <v>108</v>
      </c>
      <c r="B26" s="37">
        <v>170924</v>
      </c>
      <c r="G26" s="15" t="s">
        <v>69</v>
      </c>
      <c r="H26" s="37">
        <v>13040</v>
      </c>
      <c r="J26" s="15" t="s">
        <v>22</v>
      </c>
      <c r="K26" s="37">
        <v>44540</v>
      </c>
    </row>
    <row r="27" spans="1:11" x14ac:dyDescent="0.3">
      <c r="G27" s="15" t="s">
        <v>85</v>
      </c>
      <c r="H27" s="37">
        <v>11288</v>
      </c>
      <c r="J27" s="15" t="s">
        <v>26</v>
      </c>
      <c r="K27" s="37">
        <v>42230</v>
      </c>
    </row>
    <row r="28" spans="1:11" x14ac:dyDescent="0.3">
      <c r="G28" s="15" t="s">
        <v>82</v>
      </c>
      <c r="H28" s="37">
        <v>2166</v>
      </c>
      <c r="J28" s="15" t="s">
        <v>47</v>
      </c>
      <c r="K28" s="37">
        <v>40880</v>
      </c>
    </row>
    <row r="29" spans="1:11" x14ac:dyDescent="0.3">
      <c r="G29" s="15" t="s">
        <v>108</v>
      </c>
      <c r="H29" s="37">
        <v>170924</v>
      </c>
      <c r="J29" s="15" t="s">
        <v>40</v>
      </c>
      <c r="K29" s="37">
        <v>30700</v>
      </c>
    </row>
    <row r="30" spans="1:11" x14ac:dyDescent="0.3">
      <c r="J30" s="15" t="s">
        <v>42</v>
      </c>
      <c r="K30" s="37">
        <v>26715</v>
      </c>
    </row>
    <row r="31" spans="1:11" x14ac:dyDescent="0.3">
      <c r="J31" s="15" t="s">
        <v>29</v>
      </c>
      <c r="K31" s="37">
        <v>18915</v>
      </c>
    </row>
    <row r="32" spans="1:11" x14ac:dyDescent="0.3">
      <c r="J32" s="15" t="s">
        <v>95</v>
      </c>
      <c r="K32" s="37">
        <v>17085</v>
      </c>
    </row>
    <row r="33" spans="1:11" x14ac:dyDescent="0.3">
      <c r="A33" s="15"/>
      <c r="J33" s="15" t="s">
        <v>24</v>
      </c>
      <c r="K33" s="37">
        <v>16600</v>
      </c>
    </row>
    <row r="34" spans="1:11" x14ac:dyDescent="0.3">
      <c r="A34" s="15"/>
      <c r="J34" s="15" t="s">
        <v>41</v>
      </c>
      <c r="K34" s="37">
        <v>12205</v>
      </c>
    </row>
    <row r="35" spans="1:11" x14ac:dyDescent="0.3">
      <c r="A35" s="15"/>
      <c r="J35" s="15" t="s">
        <v>31</v>
      </c>
      <c r="K35" s="37">
        <v>10905</v>
      </c>
    </row>
    <row r="36" spans="1:11" x14ac:dyDescent="0.3">
      <c r="A36" s="15"/>
      <c r="J36" s="15" t="s">
        <v>48</v>
      </c>
      <c r="K36" s="37">
        <v>4070</v>
      </c>
    </row>
    <row r="37" spans="1:11" x14ac:dyDescent="0.3">
      <c r="A37" s="15"/>
      <c r="J37" s="15" t="s">
        <v>46</v>
      </c>
      <c r="K37" s="37">
        <v>3565</v>
      </c>
    </row>
    <row r="38" spans="1:11" x14ac:dyDescent="0.3">
      <c r="A38" s="15"/>
      <c r="J38" s="15" t="s">
        <v>25</v>
      </c>
      <c r="K38" s="37">
        <v>3510</v>
      </c>
    </row>
    <row r="39" spans="1:11" x14ac:dyDescent="0.3">
      <c r="A39" s="15"/>
      <c r="J39" s="15" t="s">
        <v>30</v>
      </c>
      <c r="K39" s="37">
        <v>3220</v>
      </c>
    </row>
    <row r="40" spans="1:11" x14ac:dyDescent="0.3">
      <c r="A40" s="15"/>
      <c r="J40" s="15" t="s">
        <v>55</v>
      </c>
      <c r="K40" s="37">
        <v>2405</v>
      </c>
    </row>
    <row r="41" spans="1:11" x14ac:dyDescent="0.3">
      <c r="A41" s="15"/>
      <c r="J41" s="15" t="s">
        <v>52</v>
      </c>
      <c r="K41" s="37">
        <v>1615</v>
      </c>
    </row>
    <row r="42" spans="1:11" x14ac:dyDescent="0.3">
      <c r="A42" s="15"/>
      <c r="J42" s="15" t="s">
        <v>27</v>
      </c>
      <c r="K42" s="37">
        <v>1510</v>
      </c>
    </row>
    <row r="43" spans="1:11" x14ac:dyDescent="0.3">
      <c r="A43" s="15"/>
      <c r="J43" s="15" t="s">
        <v>43</v>
      </c>
      <c r="K43" s="37">
        <v>1465</v>
      </c>
    </row>
    <row r="44" spans="1:11" x14ac:dyDescent="0.3">
      <c r="A44" s="15"/>
      <c r="J44" s="15" t="s">
        <v>37</v>
      </c>
      <c r="K44" s="37">
        <v>1065</v>
      </c>
    </row>
    <row r="45" spans="1:11" x14ac:dyDescent="0.3">
      <c r="A45" s="15"/>
      <c r="J45" s="15" t="s">
        <v>113</v>
      </c>
      <c r="K45" s="37">
        <v>855</v>
      </c>
    </row>
    <row r="46" spans="1:11" x14ac:dyDescent="0.3">
      <c r="A46" s="15"/>
      <c r="J46" s="15" t="s">
        <v>38</v>
      </c>
      <c r="K46" s="37">
        <v>765</v>
      </c>
    </row>
    <row r="47" spans="1:11" x14ac:dyDescent="0.3">
      <c r="A47" s="15"/>
      <c r="J47" s="15" t="s">
        <v>23</v>
      </c>
      <c r="K47" s="37">
        <v>745</v>
      </c>
    </row>
    <row r="48" spans="1:11" x14ac:dyDescent="0.3">
      <c r="A48" s="15"/>
      <c r="J48" s="15" t="s">
        <v>51</v>
      </c>
      <c r="K48" s="37">
        <v>655</v>
      </c>
    </row>
    <row r="49" spans="1:11" x14ac:dyDescent="0.3">
      <c r="A49" s="15"/>
      <c r="J49" s="15" t="s">
        <v>97</v>
      </c>
      <c r="K49" s="37">
        <v>515</v>
      </c>
    </row>
    <row r="50" spans="1:11" x14ac:dyDescent="0.3">
      <c r="A50" s="15"/>
      <c r="J50" s="15" t="s">
        <v>96</v>
      </c>
      <c r="K50" s="37">
        <v>510</v>
      </c>
    </row>
    <row r="51" spans="1:11" x14ac:dyDescent="0.3">
      <c r="A51" s="15"/>
      <c r="J51" s="15" t="s">
        <v>39</v>
      </c>
      <c r="K51" s="37">
        <v>245</v>
      </c>
    </row>
    <row r="52" spans="1:11" x14ac:dyDescent="0.3">
      <c r="A52" s="15"/>
      <c r="J52" s="15" t="s">
        <v>36</v>
      </c>
      <c r="K52" s="37">
        <v>130</v>
      </c>
    </row>
    <row r="53" spans="1:11" x14ac:dyDescent="0.3">
      <c r="A53" s="15"/>
      <c r="J53" s="15" t="s">
        <v>53</v>
      </c>
      <c r="K53" s="37">
        <v>65</v>
      </c>
    </row>
    <row r="54" spans="1:11" x14ac:dyDescent="0.3">
      <c r="A54" s="15"/>
      <c r="J54" s="15" t="s">
        <v>54</v>
      </c>
      <c r="K54" s="37">
        <v>10</v>
      </c>
    </row>
    <row r="55" spans="1:11" x14ac:dyDescent="0.3">
      <c r="A55" s="15"/>
      <c r="J55" s="15" t="s">
        <v>108</v>
      </c>
      <c r="K55" s="37">
        <v>854620</v>
      </c>
    </row>
    <row r="56" spans="1:11" x14ac:dyDescent="0.3">
      <c r="A56" s="15"/>
    </row>
    <row r="57" spans="1:11" x14ac:dyDescent="0.3">
      <c r="A57" s="17"/>
      <c r="B57" s="16"/>
    </row>
  </sheetData>
  <sheetProtection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0B9D8-66C7-4386-BACD-EF984B53CE36}">
  <sheetPr>
    <tabColor theme="2"/>
    <pageSetUpPr fitToPage="1"/>
  </sheetPr>
  <dimension ref="B2:AC49"/>
  <sheetViews>
    <sheetView showGridLines="0" showRowColHeaders="0" tabSelected="1" zoomScale="60" zoomScaleNormal="60" workbookViewId="0">
      <selection activeCell="N2" sqref="N2"/>
    </sheetView>
  </sheetViews>
  <sheetFormatPr defaultRowHeight="14.4" x14ac:dyDescent="0.3"/>
  <cols>
    <col min="9" max="10" width="12.5546875" customWidth="1"/>
    <col min="11" max="11" width="12.88671875" customWidth="1"/>
    <col min="12" max="12" width="15.6640625" customWidth="1"/>
    <col min="13" max="17" width="20.5546875" customWidth="1"/>
    <col min="18" max="18" width="14.21875" customWidth="1"/>
  </cols>
  <sheetData>
    <row r="2" spans="2:29" ht="17.399999999999999" customHeight="1" x14ac:dyDescent="0.3"/>
    <row r="4" spans="2:29" ht="13.8" customHeight="1" x14ac:dyDescent="0.3"/>
    <row r="5" spans="2:29" hidden="1" x14ac:dyDescent="0.3"/>
    <row r="6" spans="2:29" ht="33" customHeight="1" x14ac:dyDescent="0.3">
      <c r="B6" s="19"/>
      <c r="C6" s="19"/>
      <c r="D6" s="19"/>
      <c r="E6" s="19"/>
      <c r="F6" s="19"/>
      <c r="G6" s="19"/>
      <c r="H6" s="19"/>
      <c r="I6" s="19"/>
      <c r="J6" s="19"/>
      <c r="K6" s="19"/>
      <c r="L6" s="19"/>
      <c r="M6" s="31"/>
      <c r="N6" s="19"/>
      <c r="O6" s="19"/>
      <c r="P6" s="19"/>
      <c r="Q6" s="19"/>
      <c r="R6" s="19"/>
      <c r="S6" s="19"/>
      <c r="T6" s="19"/>
      <c r="U6" s="19"/>
      <c r="V6" s="19"/>
      <c r="W6" s="19"/>
      <c r="X6" s="19"/>
      <c r="Y6" s="19"/>
      <c r="Z6" s="19"/>
      <c r="AA6" s="19"/>
      <c r="AB6" s="19"/>
      <c r="AC6" s="19"/>
    </row>
    <row r="7" spans="2:29" ht="28.8" customHeight="1" x14ac:dyDescent="0.3">
      <c r="B7" s="19"/>
      <c r="C7" s="19"/>
      <c r="D7" s="19"/>
      <c r="E7" s="19"/>
      <c r="F7" s="19"/>
      <c r="G7" s="19"/>
      <c r="H7" s="19"/>
      <c r="I7" s="19"/>
      <c r="J7" s="19"/>
      <c r="K7" s="19"/>
      <c r="L7" s="19"/>
      <c r="M7" s="31"/>
      <c r="N7" s="19"/>
      <c r="O7" s="19"/>
      <c r="P7" s="19"/>
      <c r="Q7" s="19"/>
      <c r="R7" s="19"/>
      <c r="S7" s="19"/>
      <c r="T7" s="19"/>
      <c r="U7" s="19"/>
      <c r="V7" s="19"/>
      <c r="W7" s="19"/>
      <c r="X7" s="19"/>
      <c r="Y7" s="19"/>
      <c r="Z7" s="19"/>
      <c r="AA7" s="19"/>
      <c r="AB7" s="19"/>
      <c r="AC7" s="19"/>
    </row>
    <row r="8" spans="2:29" x14ac:dyDescent="0.3">
      <c r="B8" s="19"/>
      <c r="C8" s="19"/>
      <c r="D8" s="19"/>
      <c r="E8" s="19"/>
      <c r="F8" s="19"/>
      <c r="G8" s="19"/>
      <c r="H8" s="19"/>
      <c r="I8" s="19"/>
      <c r="J8" s="19"/>
      <c r="K8" s="19"/>
      <c r="L8" s="19"/>
      <c r="M8" s="31"/>
      <c r="N8" s="19"/>
      <c r="O8" s="19"/>
      <c r="P8" s="19"/>
      <c r="Q8" s="19"/>
      <c r="R8" s="19"/>
      <c r="S8" s="19"/>
      <c r="T8" s="19"/>
      <c r="U8" s="19"/>
      <c r="V8" s="19"/>
      <c r="W8" s="19"/>
      <c r="X8" s="19"/>
      <c r="Y8" s="19"/>
      <c r="Z8" s="19"/>
      <c r="AA8" s="19"/>
      <c r="AB8" s="19"/>
      <c r="AC8" s="19"/>
    </row>
    <row r="9" spans="2:29" x14ac:dyDescent="0.3">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row>
    <row r="10" spans="2:29" x14ac:dyDescent="0.3">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row>
    <row r="11" spans="2:29" x14ac:dyDescent="0.3">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row>
    <row r="12" spans="2:29" x14ac:dyDescent="0.3">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row>
    <row r="13" spans="2:29" x14ac:dyDescent="0.3">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row>
    <row r="14" spans="2:29" ht="17.399999999999999" x14ac:dyDescent="0.3">
      <c r="B14" s="19"/>
      <c r="C14" s="19"/>
      <c r="D14" s="19"/>
      <c r="E14" s="19"/>
      <c r="F14" s="19"/>
      <c r="G14" s="19"/>
      <c r="H14" s="19"/>
      <c r="I14" s="19"/>
      <c r="J14" s="32"/>
      <c r="K14" s="32"/>
      <c r="L14" s="32"/>
      <c r="M14" s="32"/>
      <c r="N14" s="32"/>
      <c r="O14" s="19"/>
      <c r="P14" s="19"/>
      <c r="Q14" s="19"/>
      <c r="R14" s="19"/>
      <c r="S14" s="19"/>
      <c r="T14" s="19"/>
      <c r="U14" s="19"/>
      <c r="V14" s="19"/>
      <c r="W14" s="19"/>
      <c r="X14" s="19"/>
      <c r="Y14" s="19"/>
      <c r="Z14" s="19"/>
      <c r="AA14" s="19"/>
      <c r="AB14" s="19"/>
      <c r="AC14" s="19"/>
    </row>
    <row r="15" spans="2:29" ht="15.6" x14ac:dyDescent="0.3">
      <c r="B15" s="19"/>
      <c r="C15" s="19"/>
      <c r="D15" s="19"/>
      <c r="E15" s="19"/>
      <c r="F15" s="19"/>
      <c r="G15" s="19"/>
      <c r="H15" s="19"/>
      <c r="I15" s="19"/>
      <c r="J15" s="19"/>
      <c r="K15" s="19"/>
      <c r="L15" s="19"/>
      <c r="M15" s="19"/>
      <c r="N15" s="22"/>
      <c r="O15" s="19"/>
      <c r="P15" s="19"/>
      <c r="Q15" s="19"/>
      <c r="R15" s="19"/>
      <c r="S15" s="19"/>
      <c r="T15" s="19"/>
      <c r="U15" s="19"/>
      <c r="V15" s="19"/>
      <c r="W15" s="19"/>
      <c r="X15" s="19"/>
      <c r="Y15" s="19"/>
      <c r="Z15" s="19"/>
      <c r="AA15" s="19"/>
      <c r="AB15" s="19"/>
      <c r="AC15" s="19"/>
    </row>
    <row r="16" spans="2:29" x14ac:dyDescent="0.3">
      <c r="B16" s="19"/>
      <c r="C16" s="19"/>
      <c r="D16" s="19"/>
      <c r="E16" s="19"/>
      <c r="F16" s="19"/>
      <c r="G16" s="19"/>
      <c r="H16" s="19"/>
      <c r="I16" s="19"/>
      <c r="J16" s="19"/>
      <c r="K16" s="19"/>
      <c r="L16" s="19"/>
      <c r="M16" s="19"/>
      <c r="N16" s="23"/>
      <c r="O16" s="19"/>
      <c r="P16" s="19"/>
      <c r="Q16" s="19"/>
      <c r="R16" s="19"/>
      <c r="S16" s="19"/>
      <c r="T16" s="19"/>
      <c r="U16" s="19"/>
      <c r="V16" s="19"/>
      <c r="W16" s="19"/>
      <c r="X16" s="19"/>
      <c r="Y16" s="19"/>
      <c r="Z16" s="19"/>
      <c r="AA16" s="19"/>
      <c r="AB16" s="19"/>
      <c r="AC16" s="19"/>
    </row>
    <row r="17" spans="2:29" x14ac:dyDescent="0.3">
      <c r="B17" s="19"/>
      <c r="C17" s="19"/>
      <c r="D17" s="19"/>
      <c r="E17" s="19"/>
      <c r="F17" s="19"/>
      <c r="G17" s="19"/>
      <c r="H17" s="19"/>
      <c r="I17" s="19"/>
      <c r="J17" s="19"/>
      <c r="K17" s="19"/>
      <c r="L17" s="19"/>
      <c r="M17" s="19"/>
      <c r="N17" s="23"/>
      <c r="O17" s="19"/>
      <c r="P17" s="19"/>
      <c r="Q17" s="19"/>
      <c r="R17" s="19"/>
      <c r="S17" s="19"/>
      <c r="T17" s="19"/>
      <c r="U17" s="19"/>
      <c r="V17" s="19"/>
      <c r="W17" s="19"/>
      <c r="X17" s="19"/>
      <c r="Y17" s="19"/>
      <c r="Z17" s="19"/>
      <c r="AA17" s="19"/>
      <c r="AB17" s="19"/>
      <c r="AC17" s="19"/>
    </row>
    <row r="18" spans="2:29" x14ac:dyDescent="0.3">
      <c r="B18" s="19"/>
      <c r="C18" s="19"/>
      <c r="D18" s="19"/>
      <c r="E18" s="19"/>
      <c r="F18" s="19"/>
      <c r="G18" s="19"/>
      <c r="H18" s="19"/>
      <c r="I18" s="19"/>
      <c r="J18" s="19"/>
      <c r="K18" s="19"/>
      <c r="L18" s="19"/>
      <c r="M18" s="19"/>
      <c r="N18" s="23"/>
      <c r="O18" s="19"/>
      <c r="P18" s="19"/>
      <c r="Q18" s="19"/>
      <c r="R18" s="19"/>
      <c r="S18" s="19"/>
      <c r="T18" s="19"/>
      <c r="U18" s="19"/>
      <c r="V18" s="19"/>
      <c r="W18" s="19"/>
      <c r="X18" s="19"/>
      <c r="Y18" s="19"/>
      <c r="Z18" s="19"/>
      <c r="AA18" s="25"/>
      <c r="AB18" s="19"/>
      <c r="AC18" s="19"/>
    </row>
    <row r="19" spans="2:29" x14ac:dyDescent="0.3">
      <c r="B19" s="19"/>
      <c r="C19" s="19"/>
      <c r="D19" s="19"/>
      <c r="E19" s="19"/>
      <c r="F19" s="19"/>
      <c r="G19" s="19"/>
      <c r="H19" s="19"/>
      <c r="I19" s="19"/>
      <c r="J19" s="19"/>
      <c r="K19" s="19"/>
      <c r="L19" s="19"/>
      <c r="M19" s="19"/>
      <c r="N19" s="23"/>
      <c r="O19" s="19"/>
      <c r="P19" s="19"/>
      <c r="Q19" s="19"/>
      <c r="R19" s="19"/>
      <c r="S19" s="19"/>
      <c r="T19" s="19"/>
      <c r="U19" s="19"/>
      <c r="V19" s="19"/>
      <c r="W19" s="19"/>
      <c r="X19" s="19"/>
      <c r="Y19" s="19"/>
      <c r="Z19" s="19"/>
      <c r="AA19" s="19"/>
      <c r="AB19" s="19"/>
      <c r="AC19" s="19"/>
    </row>
    <row r="20" spans="2:29" x14ac:dyDescent="0.3">
      <c r="B20" s="19"/>
      <c r="C20" s="19"/>
      <c r="D20" s="19"/>
      <c r="E20" s="19"/>
      <c r="F20" s="19"/>
      <c r="G20" s="19"/>
      <c r="H20" s="19"/>
      <c r="I20" s="19"/>
      <c r="J20" s="19"/>
      <c r="K20" s="19"/>
      <c r="L20" s="19"/>
      <c r="M20" s="19"/>
      <c r="N20" s="23"/>
      <c r="O20" s="19"/>
      <c r="P20" s="19"/>
      <c r="Q20" s="19"/>
      <c r="R20" s="19"/>
      <c r="S20" s="19"/>
      <c r="T20" s="19"/>
      <c r="U20" s="19"/>
      <c r="V20" s="19"/>
      <c r="W20" s="19"/>
      <c r="X20" s="19"/>
      <c r="Y20" s="19"/>
      <c r="Z20" s="19"/>
      <c r="AA20" s="19"/>
      <c r="AB20" s="19"/>
      <c r="AC20" s="19"/>
    </row>
    <row r="21" spans="2:29" ht="25.2" customHeight="1" x14ac:dyDescent="0.3">
      <c r="B21" s="19"/>
      <c r="C21" s="19"/>
      <c r="D21" s="19"/>
      <c r="E21" s="19"/>
      <c r="F21" s="19"/>
      <c r="G21" s="19"/>
      <c r="H21" s="19"/>
      <c r="I21" s="32"/>
      <c r="J21" s="32"/>
      <c r="K21" s="32"/>
      <c r="L21" s="32"/>
      <c r="M21" s="32"/>
      <c r="N21" s="23"/>
      <c r="O21" s="19"/>
      <c r="P21" s="19"/>
      <c r="Q21" s="19"/>
      <c r="R21" s="19"/>
      <c r="S21" s="19"/>
      <c r="T21" s="19"/>
      <c r="U21" s="19"/>
      <c r="V21" s="19"/>
      <c r="W21" s="19"/>
      <c r="X21" s="19"/>
      <c r="Y21" s="19"/>
      <c r="Z21" s="19"/>
      <c r="AA21" s="19"/>
      <c r="AB21" s="19"/>
      <c r="AC21" s="19"/>
    </row>
    <row r="22" spans="2:29" ht="22.2" customHeight="1" x14ac:dyDescent="0.3">
      <c r="B22" s="19"/>
      <c r="C22" s="19"/>
      <c r="D22" s="19"/>
      <c r="E22" s="19"/>
      <c r="F22" s="19"/>
      <c r="G22" s="19"/>
      <c r="H22" s="19"/>
      <c r="I22" s="22"/>
      <c r="J22" s="22"/>
      <c r="K22" s="22"/>
      <c r="L22" s="22"/>
      <c r="M22" s="22"/>
      <c r="N22" s="23"/>
      <c r="O22" s="19"/>
      <c r="P22" s="19"/>
      <c r="Q22" s="19"/>
      <c r="R22" s="19"/>
      <c r="S22" s="19"/>
      <c r="T22" s="19"/>
      <c r="U22" s="19"/>
      <c r="V22" s="19"/>
      <c r="W22" s="19"/>
      <c r="X22" s="19"/>
      <c r="Y22" s="19"/>
      <c r="Z22" s="19"/>
      <c r="AA22" s="19"/>
      <c r="AB22" s="19"/>
      <c r="AC22" s="19"/>
    </row>
    <row r="23" spans="2:29" ht="30.6" customHeight="1" x14ac:dyDescent="0.3">
      <c r="B23" s="19"/>
      <c r="C23" s="19"/>
      <c r="D23" s="19"/>
      <c r="E23" s="19"/>
      <c r="F23" s="19"/>
      <c r="G23" s="19"/>
      <c r="H23" s="19"/>
      <c r="I23" s="23"/>
      <c r="J23" s="23"/>
      <c r="K23" s="23"/>
      <c r="L23" s="33" t="s">
        <v>99</v>
      </c>
      <c r="M23" s="33"/>
      <c r="N23" s="33"/>
      <c r="O23" s="33"/>
      <c r="P23" s="33"/>
      <c r="Q23" s="33"/>
      <c r="R23" s="19"/>
      <c r="S23" s="19"/>
      <c r="T23" s="19"/>
      <c r="U23" s="19"/>
      <c r="V23" s="19"/>
      <c r="W23" s="19"/>
      <c r="X23" s="19"/>
      <c r="Y23" s="19"/>
      <c r="Z23" s="19"/>
      <c r="AA23" s="19"/>
      <c r="AB23" s="19"/>
      <c r="AC23" s="19"/>
    </row>
    <row r="24" spans="2:29" ht="25.2" customHeight="1" x14ac:dyDescent="0.3">
      <c r="B24" s="19"/>
      <c r="C24" s="19"/>
      <c r="D24" s="19"/>
      <c r="E24" s="19"/>
      <c r="F24" s="19"/>
      <c r="G24" s="19"/>
      <c r="H24" s="19"/>
      <c r="I24" s="23"/>
      <c r="J24" s="23"/>
      <c r="K24" s="23"/>
      <c r="L24" s="28" t="s">
        <v>100</v>
      </c>
      <c r="M24" s="28">
        <v>2018</v>
      </c>
      <c r="N24" s="28">
        <v>2019</v>
      </c>
      <c r="O24" s="28">
        <v>2020</v>
      </c>
      <c r="P24" s="28">
        <v>2021</v>
      </c>
      <c r="Q24" s="28">
        <v>2022</v>
      </c>
      <c r="R24" s="19"/>
      <c r="S24" s="19"/>
      <c r="T24" s="19"/>
      <c r="U24" s="19"/>
      <c r="V24" s="19"/>
      <c r="W24" s="19"/>
      <c r="X24" s="19"/>
      <c r="Y24" s="19"/>
      <c r="Z24" s="19"/>
      <c r="AA24" s="19"/>
      <c r="AB24" s="19"/>
      <c r="AC24" s="19"/>
    </row>
    <row r="25" spans="2:29" ht="25.2" customHeight="1" x14ac:dyDescent="0.3">
      <c r="B25" s="19"/>
      <c r="C25" s="19"/>
      <c r="D25" s="19"/>
      <c r="E25" s="19"/>
      <c r="F25" s="19"/>
      <c r="G25" s="19"/>
      <c r="H25" s="19"/>
      <c r="I25" s="23"/>
      <c r="J25" s="23"/>
      <c r="K25" s="23"/>
      <c r="L25" s="29">
        <v>1</v>
      </c>
      <c r="M25" s="29" t="s">
        <v>98</v>
      </c>
      <c r="N25" s="29" t="s">
        <v>98</v>
      </c>
      <c r="O25" s="29" t="s">
        <v>98</v>
      </c>
      <c r="P25" s="29" t="s">
        <v>98</v>
      </c>
      <c r="Q25" s="29" t="s">
        <v>43</v>
      </c>
      <c r="R25" s="19"/>
      <c r="S25" s="19"/>
      <c r="T25" s="19"/>
      <c r="U25" s="19"/>
      <c r="V25" s="19"/>
      <c r="W25" s="19"/>
      <c r="X25" s="19"/>
      <c r="Y25" s="19"/>
      <c r="Z25" s="19"/>
      <c r="AA25" s="19"/>
      <c r="AB25" s="19"/>
      <c r="AC25" s="19"/>
    </row>
    <row r="26" spans="2:29" ht="25.2" customHeight="1" x14ac:dyDescent="0.3">
      <c r="B26" s="19"/>
      <c r="C26" s="19"/>
      <c r="D26" s="19"/>
      <c r="E26" s="19"/>
      <c r="F26" s="19"/>
      <c r="G26" s="19"/>
      <c r="H26" s="19"/>
      <c r="I26" s="23"/>
      <c r="J26" s="23"/>
      <c r="K26" s="23"/>
      <c r="L26" s="29">
        <v>2</v>
      </c>
      <c r="M26" s="29" t="s">
        <v>55</v>
      </c>
      <c r="N26" s="29" t="s">
        <v>43</v>
      </c>
      <c r="O26" s="29" t="s">
        <v>43</v>
      </c>
      <c r="P26" s="29" t="s">
        <v>43</v>
      </c>
      <c r="Q26" s="29" t="s">
        <v>98</v>
      </c>
      <c r="R26" s="19"/>
      <c r="S26" s="19"/>
      <c r="T26" s="19"/>
      <c r="U26" s="19"/>
      <c r="V26" s="19"/>
      <c r="W26" s="19"/>
      <c r="X26" s="19"/>
      <c r="Y26" s="19"/>
      <c r="Z26" s="19"/>
      <c r="AA26" s="19"/>
      <c r="AB26" s="19"/>
      <c r="AC26" s="19"/>
    </row>
    <row r="27" spans="2:29" ht="25.2" customHeight="1" x14ac:dyDescent="0.3">
      <c r="B27" s="19"/>
      <c r="C27" s="19"/>
      <c r="D27" s="19"/>
      <c r="E27" s="19"/>
      <c r="F27" s="19"/>
      <c r="G27" s="19"/>
      <c r="H27" s="19"/>
      <c r="I27" s="23"/>
      <c r="J27" s="23"/>
      <c r="K27" s="23"/>
      <c r="L27" s="29">
        <v>3</v>
      </c>
      <c r="M27" s="29" t="s">
        <v>43</v>
      </c>
      <c r="N27" s="29" t="s">
        <v>55</v>
      </c>
      <c r="O27" s="29" t="s">
        <v>26</v>
      </c>
      <c r="P27" s="29" t="s">
        <v>55</v>
      </c>
      <c r="Q27" s="29" t="s">
        <v>55</v>
      </c>
      <c r="R27" s="19"/>
      <c r="S27" s="19"/>
      <c r="T27" s="19"/>
      <c r="U27" s="19"/>
      <c r="V27" s="19"/>
      <c r="W27" s="19"/>
      <c r="X27" s="19"/>
      <c r="Y27" s="19"/>
      <c r="Z27" s="19"/>
      <c r="AA27" s="19"/>
      <c r="AB27" s="19"/>
      <c r="AC27" s="19"/>
    </row>
    <row r="28" spans="2:29" ht="25.2" customHeight="1" x14ac:dyDescent="0.3">
      <c r="B28" s="19"/>
      <c r="C28" s="19"/>
      <c r="D28" s="19"/>
      <c r="E28" s="19"/>
      <c r="F28" s="19"/>
      <c r="G28" s="19"/>
      <c r="H28" s="19"/>
      <c r="I28" s="22"/>
      <c r="J28" s="22"/>
      <c r="K28" s="22"/>
      <c r="L28" s="29">
        <v>4</v>
      </c>
      <c r="M28" s="29" t="s">
        <v>26</v>
      </c>
      <c r="N28" s="29" t="s">
        <v>26</v>
      </c>
      <c r="O28" s="29" t="s">
        <v>55</v>
      </c>
      <c r="P28" s="29" t="s">
        <v>33</v>
      </c>
      <c r="Q28" s="29" t="s">
        <v>33</v>
      </c>
      <c r="R28" s="22"/>
      <c r="S28" s="19"/>
      <c r="T28" s="19"/>
      <c r="U28" s="19"/>
      <c r="V28" s="19"/>
      <c r="W28" s="19"/>
      <c r="X28" s="19"/>
      <c r="Y28" s="19"/>
      <c r="Z28" s="19"/>
      <c r="AA28" s="19"/>
      <c r="AB28" s="19"/>
      <c r="AC28" s="19"/>
    </row>
    <row r="29" spans="2:29" ht="25.2" customHeight="1" x14ac:dyDescent="0.3">
      <c r="B29" s="19"/>
      <c r="C29" s="19"/>
      <c r="D29" s="19"/>
      <c r="E29" s="19"/>
      <c r="F29" s="19"/>
      <c r="G29" s="19"/>
      <c r="H29" s="19"/>
      <c r="I29" s="23"/>
      <c r="J29" s="23"/>
      <c r="K29" s="23"/>
      <c r="L29" s="29">
        <v>5</v>
      </c>
      <c r="M29" s="29" t="s">
        <v>33</v>
      </c>
      <c r="N29" s="29" t="s">
        <v>33</v>
      </c>
      <c r="O29" s="29" t="s">
        <v>33</v>
      </c>
      <c r="P29" s="29" t="s">
        <v>26</v>
      </c>
      <c r="Q29" s="29" t="s">
        <v>26</v>
      </c>
      <c r="R29" s="23"/>
      <c r="S29" s="19"/>
      <c r="T29" s="19"/>
      <c r="U29" s="19"/>
      <c r="V29" s="19"/>
      <c r="W29" s="19"/>
      <c r="X29" s="19"/>
      <c r="Y29" s="19"/>
      <c r="Z29" s="19"/>
      <c r="AA29" s="19"/>
      <c r="AB29" s="19"/>
      <c r="AC29" s="19"/>
    </row>
    <row r="30" spans="2:29" ht="18.600000000000001" customHeight="1" x14ac:dyDescent="0.3">
      <c r="B30" s="19"/>
      <c r="C30" s="19"/>
      <c r="D30" s="19"/>
      <c r="E30" s="19"/>
      <c r="F30" s="19"/>
      <c r="G30" s="19"/>
      <c r="H30" s="19"/>
      <c r="I30" s="23"/>
      <c r="J30" s="23"/>
      <c r="K30" s="23"/>
      <c r="L30" s="23"/>
      <c r="M30" s="23"/>
      <c r="N30" s="23"/>
      <c r="O30" s="23"/>
      <c r="P30" s="23"/>
      <c r="Q30" s="23"/>
      <c r="R30" s="23"/>
      <c r="S30" s="19"/>
      <c r="T30" s="19"/>
      <c r="U30" s="19"/>
      <c r="V30" s="19"/>
      <c r="W30" s="19"/>
      <c r="X30" s="19"/>
      <c r="Y30" s="19"/>
      <c r="Z30" s="19"/>
      <c r="AA30" s="19"/>
      <c r="AB30" s="19"/>
      <c r="AC30" s="19"/>
    </row>
    <row r="31" spans="2:29" ht="25.8" customHeight="1" x14ac:dyDescent="0.3">
      <c r="B31" s="19"/>
      <c r="C31" s="19"/>
      <c r="D31" s="19"/>
      <c r="E31" s="19"/>
      <c r="F31" s="19"/>
      <c r="G31" s="19"/>
      <c r="H31" s="19"/>
      <c r="I31" s="19"/>
      <c r="J31" s="18"/>
      <c r="K31" s="18"/>
      <c r="L31" s="18"/>
      <c r="M31" s="18"/>
      <c r="N31" s="18"/>
      <c r="O31" s="18"/>
      <c r="P31" s="19"/>
      <c r="Q31" s="19"/>
      <c r="R31" s="19"/>
      <c r="S31" s="19"/>
      <c r="T31" s="19"/>
      <c r="U31" s="19"/>
      <c r="V31" s="19"/>
      <c r="W31" s="19"/>
      <c r="X31" s="19"/>
      <c r="Y31" s="19"/>
      <c r="Z31" s="19"/>
      <c r="AA31" s="19"/>
      <c r="AB31" s="19"/>
      <c r="AC31" s="19"/>
    </row>
    <row r="32" spans="2:29" ht="25.8" customHeight="1" x14ac:dyDescent="0.3">
      <c r="B32" s="19"/>
      <c r="C32" s="19"/>
      <c r="D32" s="19"/>
      <c r="E32" s="19"/>
      <c r="F32" s="19"/>
      <c r="G32" s="19"/>
      <c r="H32" s="19"/>
      <c r="I32" s="19"/>
      <c r="J32" s="18"/>
      <c r="K32" s="18"/>
      <c r="L32" s="18"/>
      <c r="M32" s="18"/>
      <c r="N32" s="18"/>
      <c r="O32" s="18"/>
      <c r="P32" s="19"/>
      <c r="Q32" s="19"/>
      <c r="R32" s="19"/>
      <c r="S32" s="19"/>
      <c r="T32" s="19"/>
      <c r="U32" s="19"/>
      <c r="V32" s="19"/>
      <c r="W32" s="19"/>
      <c r="X32" s="19"/>
      <c r="Y32" s="19"/>
      <c r="Z32" s="19"/>
      <c r="AA32" s="19"/>
      <c r="AB32" s="19"/>
      <c r="AC32" s="19"/>
    </row>
    <row r="33" spans="2:29" ht="25.8" customHeight="1" x14ac:dyDescent="0.3">
      <c r="B33" s="19"/>
      <c r="C33" s="19"/>
      <c r="D33" s="19"/>
      <c r="E33" s="19"/>
      <c r="F33" s="19"/>
      <c r="G33" s="19"/>
      <c r="H33" s="19"/>
      <c r="I33" s="19"/>
      <c r="J33" s="18"/>
      <c r="K33" s="18"/>
      <c r="L33" s="18"/>
      <c r="M33" s="18"/>
      <c r="N33" s="18"/>
      <c r="O33" s="18"/>
      <c r="P33" s="19"/>
      <c r="Q33" s="19"/>
      <c r="R33" s="19"/>
      <c r="S33" s="19"/>
      <c r="T33" s="19"/>
      <c r="U33" s="19"/>
      <c r="V33" s="19"/>
      <c r="W33" s="19"/>
      <c r="X33" s="19"/>
      <c r="Y33" s="19"/>
      <c r="Z33" s="19"/>
      <c r="AA33" s="19"/>
      <c r="AB33" s="19"/>
      <c r="AC33" s="19"/>
    </row>
    <row r="34" spans="2:29" ht="25.8" customHeight="1" x14ac:dyDescent="0.3">
      <c r="B34" s="19"/>
      <c r="C34" s="19"/>
      <c r="D34" s="19"/>
      <c r="E34" s="19"/>
      <c r="F34" s="19"/>
      <c r="G34" s="19"/>
      <c r="H34" s="19"/>
      <c r="I34" s="19"/>
      <c r="J34" s="18"/>
      <c r="K34" s="18"/>
      <c r="L34" s="18"/>
      <c r="M34" s="18"/>
      <c r="N34" s="18"/>
      <c r="O34" s="18"/>
      <c r="P34" s="19"/>
      <c r="Q34" s="19"/>
      <c r="R34" s="19"/>
      <c r="S34" s="19"/>
      <c r="T34" s="19"/>
      <c r="U34" s="19"/>
      <c r="V34" s="19"/>
      <c r="W34" s="19"/>
      <c r="X34" s="19"/>
      <c r="Y34" s="19"/>
      <c r="Z34" s="19"/>
      <c r="AA34" s="19"/>
      <c r="AB34" s="19"/>
      <c r="AC34" s="19"/>
    </row>
    <row r="35" spans="2:29" ht="25.8" customHeight="1" x14ac:dyDescent="0.3">
      <c r="B35" s="19"/>
      <c r="C35" s="19"/>
      <c r="D35" s="19"/>
      <c r="E35" s="19"/>
      <c r="F35" s="19"/>
      <c r="G35" s="19"/>
      <c r="H35" s="19"/>
      <c r="I35" s="19"/>
      <c r="J35" s="18"/>
      <c r="K35" s="18"/>
      <c r="L35" s="34"/>
      <c r="M35" s="34"/>
      <c r="N35" s="34"/>
      <c r="O35" s="34"/>
      <c r="P35" s="34"/>
      <c r="Q35" s="34"/>
      <c r="R35" s="19"/>
      <c r="S35" s="19"/>
      <c r="T35" s="19"/>
      <c r="U35" s="19"/>
      <c r="V35" s="19"/>
      <c r="W35" s="19"/>
      <c r="X35" s="19"/>
      <c r="Y35" s="19"/>
      <c r="Z35" s="19"/>
      <c r="AA35" s="19"/>
      <c r="AB35" s="19"/>
      <c r="AC35" s="19"/>
    </row>
    <row r="36" spans="2:29" ht="18" x14ac:dyDescent="0.3">
      <c r="B36" s="19"/>
      <c r="C36" s="19"/>
      <c r="D36" s="19"/>
      <c r="E36" s="19"/>
      <c r="F36" s="19"/>
      <c r="G36" s="19"/>
      <c r="H36" s="19"/>
      <c r="I36" s="19"/>
      <c r="J36" s="19"/>
      <c r="K36" s="19"/>
      <c r="L36" s="27"/>
      <c r="M36" s="27"/>
      <c r="N36" s="27"/>
      <c r="O36" s="27"/>
      <c r="P36" s="27"/>
      <c r="Q36" s="27"/>
      <c r="R36" s="19"/>
      <c r="S36" s="19"/>
      <c r="T36" s="19"/>
      <c r="U36" s="19"/>
      <c r="V36" s="19"/>
      <c r="W36" s="19"/>
      <c r="X36" s="19"/>
      <c r="Y36" s="19"/>
      <c r="Z36" s="19"/>
      <c r="AA36" s="19"/>
      <c r="AB36" s="19"/>
      <c r="AC36" s="19"/>
    </row>
    <row r="37" spans="2:29" x14ac:dyDescent="0.3">
      <c r="B37" s="19"/>
      <c r="C37" s="19"/>
      <c r="D37" s="19"/>
      <c r="E37" s="19"/>
      <c r="F37" s="19"/>
      <c r="G37" s="19"/>
      <c r="H37" s="19"/>
      <c r="I37" s="19"/>
      <c r="J37" s="19"/>
      <c r="K37" s="19"/>
      <c r="L37" s="18"/>
      <c r="M37" s="18"/>
      <c r="N37" s="18"/>
      <c r="O37" s="18"/>
      <c r="P37" s="18"/>
      <c r="Q37" s="18"/>
      <c r="R37" s="19"/>
      <c r="S37" s="19"/>
      <c r="T37" s="19"/>
      <c r="U37" s="19"/>
      <c r="V37" s="19"/>
      <c r="W37" s="19"/>
      <c r="X37" s="19"/>
      <c r="Y37" s="19"/>
      <c r="Z37" s="19"/>
      <c r="AA37" s="19"/>
      <c r="AB37" s="19"/>
      <c r="AC37" s="19"/>
    </row>
    <row r="38" spans="2:29" x14ac:dyDescent="0.3">
      <c r="B38" s="19"/>
      <c r="C38" s="19"/>
      <c r="D38" s="19"/>
      <c r="E38" s="19"/>
      <c r="F38" s="19"/>
      <c r="G38" s="19"/>
      <c r="H38" s="19"/>
      <c r="I38" s="19"/>
      <c r="J38" s="19"/>
      <c r="K38" s="19"/>
      <c r="L38" s="18"/>
      <c r="M38" s="18"/>
      <c r="N38" s="18"/>
      <c r="O38" s="18"/>
      <c r="P38" s="18"/>
      <c r="Q38" s="18"/>
      <c r="R38" s="19"/>
      <c r="S38" s="19"/>
      <c r="T38" s="19"/>
      <c r="U38" s="19"/>
      <c r="V38" s="19"/>
      <c r="W38" s="19"/>
      <c r="X38" s="19"/>
      <c r="Y38" s="19"/>
      <c r="Z38" s="19"/>
      <c r="AA38" s="19"/>
      <c r="AB38" s="19"/>
      <c r="AC38" s="19"/>
    </row>
    <row r="39" spans="2:29" x14ac:dyDescent="0.3">
      <c r="B39" s="19"/>
      <c r="C39" s="19"/>
      <c r="D39" s="19"/>
      <c r="E39" s="19"/>
      <c r="F39" s="19"/>
      <c r="G39" s="19"/>
      <c r="H39" s="19"/>
      <c r="I39" s="19"/>
      <c r="J39" s="19"/>
      <c r="K39" s="19"/>
      <c r="L39" s="18"/>
      <c r="M39" s="18"/>
      <c r="N39" s="18"/>
      <c r="O39" s="18"/>
      <c r="P39" s="18"/>
      <c r="Q39" s="18"/>
      <c r="R39" s="19"/>
      <c r="S39" s="19"/>
      <c r="T39" s="19"/>
      <c r="U39" s="19"/>
      <c r="V39" s="19"/>
      <c r="W39" s="19"/>
      <c r="X39" s="19"/>
      <c r="Y39" s="19"/>
      <c r="Z39" s="19"/>
      <c r="AA39" s="19"/>
      <c r="AB39" s="19"/>
      <c r="AC39" s="19"/>
    </row>
    <row r="40" spans="2:29" x14ac:dyDescent="0.3">
      <c r="B40" s="19"/>
      <c r="C40" s="19"/>
      <c r="D40" s="19"/>
      <c r="E40" s="19"/>
      <c r="F40" s="19"/>
      <c r="G40" s="19"/>
      <c r="H40" s="19"/>
      <c r="I40" s="19"/>
      <c r="J40" s="19"/>
      <c r="K40" s="19"/>
      <c r="L40" s="18"/>
      <c r="M40" s="18"/>
      <c r="N40" s="18"/>
      <c r="O40" s="18"/>
      <c r="P40" s="18"/>
      <c r="Q40" s="18"/>
      <c r="R40" s="19"/>
      <c r="S40" s="19"/>
      <c r="T40" s="19"/>
      <c r="U40" s="19"/>
      <c r="V40" s="19"/>
      <c r="W40" s="19"/>
      <c r="X40" s="19"/>
      <c r="Y40" s="19"/>
      <c r="Z40" s="19"/>
      <c r="AA40" s="19"/>
      <c r="AB40" s="19"/>
      <c r="AC40" s="19"/>
    </row>
    <row r="41" spans="2:29" x14ac:dyDescent="0.3">
      <c r="B41" s="19"/>
      <c r="C41" s="19"/>
      <c r="D41" s="19"/>
      <c r="E41" s="19"/>
      <c r="F41" s="19"/>
      <c r="G41" s="19"/>
      <c r="H41" s="19"/>
      <c r="I41" s="19"/>
      <c r="J41" s="19"/>
      <c r="K41" s="19"/>
      <c r="L41" s="18"/>
      <c r="M41" s="18"/>
      <c r="N41" s="18"/>
      <c r="O41" s="18"/>
      <c r="P41" s="18"/>
      <c r="Q41" s="18"/>
      <c r="R41" s="19"/>
      <c r="S41" s="19"/>
      <c r="T41" s="19"/>
      <c r="U41" s="19"/>
      <c r="V41" s="19"/>
      <c r="W41" s="19"/>
      <c r="X41" s="19"/>
      <c r="Y41" s="19"/>
      <c r="Z41" s="19"/>
      <c r="AA41" s="19"/>
      <c r="AB41" s="19"/>
      <c r="AC41" s="19"/>
    </row>
    <row r="42" spans="2:29" x14ac:dyDescent="0.3">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row>
    <row r="43" spans="2:29" x14ac:dyDescent="0.3">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row>
    <row r="44" spans="2:29" x14ac:dyDescent="0.3">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row>
    <row r="45" spans="2:29" x14ac:dyDescent="0.3">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row>
    <row r="46" spans="2:29" x14ac:dyDescent="0.3">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row>
    <row r="47" spans="2:29" x14ac:dyDescent="0.3">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row>
    <row r="48" spans="2:29" x14ac:dyDescent="0.3">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row>
    <row r="49" spans="2:29" x14ac:dyDescent="0.3">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row>
  </sheetData>
  <sheetProtection algorithmName="SHA-512" hashValue="vrlgPq9EDw4WiOynSGgTWhPSjr06+N0ghV62eSh5FUXdx+X01PpOqtz9sJE8VucBgfor6vhsRNpLC1e3dbwiDw==" saltValue="AmO8GJdmAfHaKhqxgYwOHg==" spinCount="100000" sheet="1" objects="1" scenarios="1" selectLockedCells="1"/>
  <mergeCells count="5">
    <mergeCell ref="M6:M8"/>
    <mergeCell ref="J14:N14"/>
    <mergeCell ref="I21:M21"/>
    <mergeCell ref="L23:Q23"/>
    <mergeCell ref="L35:Q35"/>
  </mergeCells>
  <pageMargins left="0.7" right="0.7" top="0.75" bottom="0.75" header="0.3" footer="0.3"/>
  <pageSetup paperSize="9" scale="42"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517E-24BD-46C2-87A7-8001795F72C4}">
  <sheetPr>
    <tabColor theme="2"/>
    <pageSetUpPr fitToPage="1"/>
  </sheetPr>
  <dimension ref="B2:AC49"/>
  <sheetViews>
    <sheetView showGridLines="0" showRowColHeaders="0" zoomScale="60" zoomScaleNormal="60" workbookViewId="0">
      <selection activeCell="AD21" sqref="AD21"/>
    </sheetView>
  </sheetViews>
  <sheetFormatPr defaultRowHeight="14.4" x14ac:dyDescent="0.3"/>
  <cols>
    <col min="9" max="10" width="12.5546875" customWidth="1"/>
    <col min="11" max="11" width="12.88671875" customWidth="1"/>
    <col min="12" max="12" width="15.6640625" customWidth="1"/>
    <col min="13" max="13" width="20.5546875" customWidth="1"/>
    <col min="14" max="14" width="10.5546875" customWidth="1"/>
    <col min="15" max="15" width="23.33203125" customWidth="1"/>
    <col min="16" max="16" width="20.5546875" customWidth="1"/>
    <col min="17" max="17" width="14.21875" customWidth="1"/>
    <col min="18" max="18" width="16.77734375" customWidth="1"/>
    <col min="19" max="19" width="19" customWidth="1"/>
    <col min="20" max="20" width="8.6640625" customWidth="1"/>
    <col min="24" max="24" width="13.109375" customWidth="1"/>
    <col min="25" max="25" width="4.88671875" customWidth="1"/>
  </cols>
  <sheetData>
    <row r="2" spans="2:29" ht="17.399999999999999" customHeight="1" x14ac:dyDescent="0.3"/>
    <row r="4" spans="2:29" ht="13.8" customHeight="1" x14ac:dyDescent="0.3"/>
    <row r="5" spans="2:29" hidden="1" x14ac:dyDescent="0.3"/>
    <row r="6" spans="2:29" ht="33" customHeight="1" x14ac:dyDescent="0.3">
      <c r="B6" s="19"/>
      <c r="C6" s="19"/>
      <c r="D6" s="19"/>
      <c r="E6" s="19"/>
      <c r="F6" s="19"/>
      <c r="G6" s="19"/>
      <c r="H6" s="19"/>
      <c r="I6" s="19"/>
      <c r="J6" s="19"/>
      <c r="K6" s="19"/>
      <c r="L6" s="19"/>
      <c r="M6" s="31"/>
      <c r="N6" s="19"/>
      <c r="O6" s="19"/>
      <c r="P6" s="19"/>
      <c r="Q6" s="19"/>
      <c r="R6" s="19"/>
      <c r="S6" s="19"/>
      <c r="T6" s="19"/>
      <c r="U6" s="19"/>
      <c r="V6" s="19"/>
      <c r="W6" s="19"/>
      <c r="X6" s="19"/>
      <c r="Y6" s="19"/>
      <c r="Z6" s="19"/>
      <c r="AA6" s="19"/>
      <c r="AB6" s="19"/>
      <c r="AC6" s="19"/>
    </row>
    <row r="7" spans="2:29" ht="28.8" customHeight="1" x14ac:dyDescent="0.3">
      <c r="B7" s="19"/>
      <c r="C7" s="19"/>
      <c r="D7" s="19"/>
      <c r="E7" s="19"/>
      <c r="F7" s="19"/>
      <c r="G7" s="19"/>
      <c r="H7" s="19"/>
      <c r="I7" s="19"/>
      <c r="J7" s="19"/>
      <c r="K7" s="19"/>
      <c r="L7" s="19"/>
      <c r="M7" s="31"/>
      <c r="N7" s="19"/>
      <c r="O7" s="19"/>
      <c r="P7" s="19"/>
      <c r="Q7" s="19"/>
      <c r="R7" s="19"/>
      <c r="S7" s="19"/>
      <c r="T7" s="19"/>
      <c r="U7" s="19"/>
      <c r="V7" s="19"/>
      <c r="W7" s="19"/>
      <c r="X7" s="19"/>
      <c r="Y7" s="19"/>
      <c r="Z7" s="19"/>
      <c r="AA7" s="19"/>
      <c r="AB7" s="19"/>
      <c r="AC7" s="19"/>
    </row>
    <row r="8" spans="2:29" x14ac:dyDescent="0.3">
      <c r="B8" s="19"/>
      <c r="C8" s="19"/>
      <c r="D8" s="19"/>
      <c r="E8" s="19"/>
      <c r="F8" s="19"/>
      <c r="G8" s="19"/>
      <c r="H8" s="19"/>
      <c r="I8" s="19"/>
      <c r="J8" s="19"/>
      <c r="K8" s="19"/>
      <c r="L8" s="19"/>
      <c r="M8" s="31"/>
      <c r="N8" s="19"/>
      <c r="O8" s="19"/>
      <c r="P8" s="19"/>
      <c r="Q8" s="19"/>
      <c r="R8" s="19"/>
      <c r="S8" s="19"/>
      <c r="T8" s="19"/>
      <c r="U8" s="19"/>
      <c r="V8" s="19"/>
      <c r="W8" s="19"/>
      <c r="X8" s="19"/>
      <c r="Y8" s="19"/>
      <c r="Z8" s="19"/>
      <c r="AA8" s="19"/>
      <c r="AB8" s="19"/>
      <c r="AC8" s="19"/>
    </row>
    <row r="9" spans="2:29" x14ac:dyDescent="0.3">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row>
    <row r="10" spans="2:29" x14ac:dyDescent="0.3">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row>
    <row r="11" spans="2:29" x14ac:dyDescent="0.3">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row>
    <row r="12" spans="2:29" x14ac:dyDescent="0.3">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row>
    <row r="13" spans="2:29" x14ac:dyDescent="0.3">
      <c r="B13" s="19"/>
      <c r="C13" s="19"/>
      <c r="D13" s="19"/>
      <c r="E13" s="19"/>
      <c r="F13" s="19"/>
      <c r="G13" s="19"/>
      <c r="H13" s="19"/>
      <c r="I13" s="19"/>
      <c r="J13" s="19"/>
      <c r="K13" s="19"/>
      <c r="L13" s="19"/>
      <c r="M13" s="19"/>
      <c r="N13" s="19"/>
      <c r="O13" s="20"/>
      <c r="P13" s="19"/>
      <c r="Q13" s="19"/>
      <c r="R13" s="19"/>
      <c r="S13" s="19"/>
      <c r="T13" s="19"/>
      <c r="U13" s="19"/>
      <c r="V13" s="19"/>
      <c r="W13" s="19"/>
      <c r="X13" s="19"/>
      <c r="Y13" s="19"/>
      <c r="Z13" s="19"/>
      <c r="AA13" s="19"/>
      <c r="AB13" s="19"/>
      <c r="AC13" s="19"/>
    </row>
    <row r="14" spans="2:29" ht="17.399999999999999" customHeight="1" x14ac:dyDescent="0.3">
      <c r="B14" s="19"/>
      <c r="C14" s="19"/>
      <c r="D14" s="19"/>
      <c r="E14" s="19"/>
      <c r="F14" s="19"/>
      <c r="G14" s="19"/>
      <c r="H14" s="19"/>
      <c r="I14" s="19"/>
      <c r="J14" s="21"/>
      <c r="K14" s="21"/>
      <c r="L14" s="21"/>
      <c r="M14" s="21"/>
      <c r="N14" s="21"/>
      <c r="O14" s="35">
        <f>GETPIVOTDATA("[Measures].[Sum of Total No.]",'Pivot Table'!$A$22,"[Table2].[Gender]","[Table2].[Gender].&amp;[Male]")</f>
        <v>122705</v>
      </c>
      <c r="P14" s="35">
        <f>GETPIVOTDATA("[Measures].[Sum of Total No.]",'Pivot Table'!$A$22,"[Table2].[Gender]","[Table2].[Gender].&amp;[Female]")</f>
        <v>48191</v>
      </c>
      <c r="Q14" s="35"/>
      <c r="R14" s="19"/>
      <c r="S14" s="19"/>
      <c r="T14" s="19"/>
      <c r="U14" s="19"/>
      <c r="V14" s="19"/>
      <c r="W14" s="19"/>
      <c r="X14" s="19"/>
      <c r="Y14" s="19"/>
      <c r="Z14" s="19"/>
      <c r="AA14" s="19"/>
      <c r="AB14" s="19"/>
      <c r="AC14" s="19"/>
    </row>
    <row r="15" spans="2:29" ht="15.6" customHeight="1" x14ac:dyDescent="0.3">
      <c r="B15" s="19"/>
      <c r="C15" s="19"/>
      <c r="D15" s="19"/>
      <c r="E15" s="19"/>
      <c r="F15" s="19"/>
      <c r="G15" s="19"/>
      <c r="H15" s="19"/>
      <c r="I15" s="19"/>
      <c r="J15" s="19"/>
      <c r="K15" s="19"/>
      <c r="L15" s="36">
        <f>GETPIVOTDATA("[Measures].[Sum of Total No.]",'Pivot Table'!$A$22)</f>
        <v>170924</v>
      </c>
      <c r="M15" s="36"/>
      <c r="N15" s="22"/>
      <c r="O15" s="35"/>
      <c r="P15" s="35"/>
      <c r="Q15" s="35"/>
      <c r="R15" s="19"/>
      <c r="S15" s="19"/>
      <c r="T15" s="19"/>
      <c r="U15" s="19"/>
      <c r="V15" s="19"/>
      <c r="W15" s="19"/>
      <c r="X15" s="19"/>
      <c r="Y15" s="19"/>
      <c r="Z15" s="19"/>
      <c r="AA15" s="19"/>
      <c r="AB15" s="19"/>
      <c r="AC15" s="19"/>
    </row>
    <row r="16" spans="2:29" ht="14.4" customHeight="1" x14ac:dyDescent="0.3">
      <c r="B16" s="19"/>
      <c r="C16" s="19"/>
      <c r="D16" s="19"/>
      <c r="E16" s="19"/>
      <c r="F16" s="19"/>
      <c r="G16" s="19"/>
      <c r="H16" s="19"/>
      <c r="I16" s="19"/>
      <c r="J16" s="19"/>
      <c r="K16" s="19"/>
      <c r="L16" s="36"/>
      <c r="M16" s="36"/>
      <c r="N16" s="23"/>
      <c r="O16" s="19"/>
      <c r="P16" s="19"/>
      <c r="Q16" s="19"/>
      <c r="R16" s="19"/>
      <c r="S16" s="19"/>
      <c r="T16" s="19"/>
      <c r="U16" s="19"/>
      <c r="V16" s="19"/>
      <c r="W16" s="19"/>
      <c r="X16" s="19"/>
      <c r="Y16" s="19"/>
      <c r="Z16" s="19"/>
      <c r="AA16" s="19"/>
      <c r="AB16" s="19"/>
      <c r="AC16" s="19"/>
    </row>
    <row r="17" spans="2:29" ht="14.4" customHeight="1" x14ac:dyDescent="0.3">
      <c r="B17" s="19"/>
      <c r="C17" s="19"/>
      <c r="D17" s="19"/>
      <c r="E17" s="19"/>
      <c r="F17" s="19"/>
      <c r="G17" s="19"/>
      <c r="H17" s="19"/>
      <c r="I17" s="19"/>
      <c r="J17" s="19"/>
      <c r="K17" s="19"/>
      <c r="L17" s="24"/>
      <c r="M17" s="24"/>
      <c r="N17" s="23"/>
      <c r="O17" s="19"/>
      <c r="P17" s="19"/>
      <c r="Q17" s="19"/>
      <c r="R17" s="19"/>
      <c r="S17" s="19"/>
      <c r="T17" s="19"/>
      <c r="U17" s="19"/>
      <c r="V17" s="19"/>
      <c r="W17" s="19"/>
      <c r="X17" s="19"/>
      <c r="Y17" s="19"/>
      <c r="Z17" s="19"/>
      <c r="AA17" s="19"/>
      <c r="AB17" s="19"/>
      <c r="AC17" s="19"/>
    </row>
    <row r="18" spans="2:29" ht="14.4" customHeight="1" x14ac:dyDescent="0.3">
      <c r="B18" s="19"/>
      <c r="C18" s="19"/>
      <c r="D18" s="19"/>
      <c r="E18" s="19"/>
      <c r="F18" s="19"/>
      <c r="G18" s="19"/>
      <c r="H18" s="19"/>
      <c r="I18" s="19"/>
      <c r="J18" s="19"/>
      <c r="K18" s="19"/>
      <c r="L18" s="24"/>
      <c r="M18" s="24"/>
      <c r="N18" s="23"/>
      <c r="O18" s="19"/>
      <c r="P18" s="19"/>
      <c r="Q18" s="19"/>
      <c r="R18" s="19"/>
      <c r="S18" s="19"/>
      <c r="T18" s="19"/>
      <c r="U18" s="19"/>
      <c r="V18" s="19"/>
      <c r="W18" s="19"/>
      <c r="X18" s="19"/>
      <c r="Y18" s="19"/>
      <c r="Z18" s="19"/>
      <c r="AA18" s="25"/>
      <c r="AB18" s="19"/>
      <c r="AC18" s="19"/>
    </row>
    <row r="19" spans="2:29" ht="14.4" customHeight="1" x14ac:dyDescent="0.3">
      <c r="B19" s="19"/>
      <c r="C19" s="19"/>
      <c r="D19" s="19"/>
      <c r="E19" s="19"/>
      <c r="F19" s="19"/>
      <c r="G19" s="19"/>
      <c r="H19" s="19"/>
      <c r="I19" s="19"/>
      <c r="J19" s="19"/>
      <c r="K19" s="19"/>
      <c r="L19" s="24"/>
      <c r="M19" s="24"/>
      <c r="N19" s="23"/>
      <c r="O19" s="19"/>
      <c r="P19" s="19"/>
      <c r="Q19" s="19"/>
      <c r="R19" s="19"/>
      <c r="S19" s="19"/>
      <c r="T19" s="19"/>
      <c r="U19" s="19"/>
      <c r="V19" s="19"/>
      <c r="W19" s="19"/>
      <c r="X19" s="19"/>
      <c r="Y19" s="19"/>
      <c r="Z19" s="19"/>
      <c r="AA19" s="19"/>
      <c r="AB19" s="19"/>
      <c r="AC19" s="19"/>
    </row>
    <row r="20" spans="2:29" x14ac:dyDescent="0.3">
      <c r="B20" s="19"/>
      <c r="C20" s="19"/>
      <c r="D20" s="19"/>
      <c r="E20" s="19"/>
      <c r="F20" s="19"/>
      <c r="G20" s="19"/>
      <c r="H20" s="19"/>
      <c r="I20" s="19"/>
      <c r="J20" s="19"/>
      <c r="K20" s="19"/>
      <c r="L20" s="19"/>
      <c r="M20" s="19"/>
      <c r="N20" s="23"/>
      <c r="O20" s="19"/>
      <c r="P20" s="19"/>
      <c r="Q20" s="19"/>
      <c r="R20" s="19"/>
      <c r="S20" s="19"/>
      <c r="T20" s="19"/>
      <c r="U20" s="19"/>
      <c r="V20" s="19"/>
      <c r="W20" s="19"/>
      <c r="X20" s="19"/>
      <c r="Y20" s="19"/>
      <c r="Z20" s="19"/>
      <c r="AA20" s="19"/>
      <c r="AB20" s="19"/>
      <c r="AC20" s="19"/>
    </row>
    <row r="21" spans="2:29" ht="25.2" customHeight="1" x14ac:dyDescent="0.3">
      <c r="B21" s="19"/>
      <c r="C21" s="19"/>
      <c r="D21" s="19"/>
      <c r="E21" s="19"/>
      <c r="F21" s="19"/>
      <c r="G21" s="19"/>
      <c r="H21" s="19"/>
      <c r="I21" s="32"/>
      <c r="J21" s="32"/>
      <c r="K21" s="32"/>
      <c r="L21" s="32"/>
      <c r="M21" s="32"/>
      <c r="N21" s="23"/>
      <c r="O21" s="19"/>
      <c r="P21" s="19"/>
      <c r="Q21" s="19"/>
      <c r="R21" s="19"/>
      <c r="S21" s="19"/>
      <c r="T21" s="19"/>
      <c r="U21" s="19"/>
      <c r="V21" s="19"/>
      <c r="W21" s="19"/>
      <c r="X21" s="19"/>
      <c r="Y21" s="19"/>
      <c r="Z21" s="19"/>
      <c r="AA21" s="19"/>
      <c r="AB21" s="19"/>
      <c r="AC21" s="19"/>
    </row>
    <row r="22" spans="2:29" ht="22.2" customHeight="1" x14ac:dyDescent="0.3">
      <c r="B22" s="19"/>
      <c r="C22" s="19"/>
      <c r="D22" s="19"/>
      <c r="E22" s="19"/>
      <c r="F22" s="19"/>
      <c r="G22" s="19"/>
      <c r="H22" s="19"/>
      <c r="I22" s="22"/>
      <c r="J22" s="22"/>
      <c r="K22" s="22"/>
      <c r="L22" s="22"/>
      <c r="M22" s="22"/>
      <c r="N22" s="23"/>
      <c r="O22" s="19"/>
      <c r="P22" s="19"/>
      <c r="Q22" s="19"/>
      <c r="R22" s="19"/>
      <c r="S22" s="19"/>
      <c r="T22" s="19"/>
      <c r="U22" s="19"/>
      <c r="V22" s="19"/>
      <c r="W22" s="19"/>
      <c r="X22" s="19"/>
      <c r="Y22" s="19"/>
      <c r="Z22" s="19"/>
      <c r="AA22" s="19"/>
      <c r="AB22" s="19"/>
      <c r="AC22" s="19"/>
    </row>
    <row r="23" spans="2:29" ht="30.6" customHeight="1" x14ac:dyDescent="0.3">
      <c r="B23" s="19"/>
      <c r="C23" s="19"/>
      <c r="D23" s="19"/>
      <c r="E23" s="19"/>
      <c r="F23" s="19"/>
      <c r="G23" s="19"/>
      <c r="H23" s="19"/>
      <c r="I23" s="23"/>
      <c r="J23" s="23"/>
      <c r="K23" s="23"/>
      <c r="L23" s="26"/>
      <c r="M23" s="26"/>
      <c r="N23" s="26"/>
      <c r="O23" s="26"/>
      <c r="P23" s="26"/>
      <c r="Q23" s="26"/>
      <c r="R23" s="19"/>
      <c r="S23" s="19"/>
      <c r="T23" s="19"/>
      <c r="U23" s="19"/>
      <c r="V23" s="19"/>
      <c r="W23" s="19"/>
      <c r="X23" s="19"/>
      <c r="Y23" s="19"/>
      <c r="Z23" s="19"/>
      <c r="AA23" s="19"/>
      <c r="AB23" s="19"/>
      <c r="AC23" s="19"/>
    </row>
    <row r="24" spans="2:29" ht="25.2" customHeight="1" x14ac:dyDescent="0.3">
      <c r="B24" s="19"/>
      <c r="C24" s="19"/>
      <c r="D24" s="19"/>
      <c r="E24" s="19"/>
      <c r="F24" s="19"/>
      <c r="G24" s="19"/>
      <c r="H24" s="19"/>
      <c r="I24" s="23"/>
      <c r="J24" s="23"/>
      <c r="K24" s="23"/>
      <c r="L24" s="27"/>
      <c r="M24" s="27"/>
      <c r="N24" s="27"/>
      <c r="O24" s="27"/>
      <c r="P24" s="27"/>
      <c r="Q24" s="27"/>
      <c r="R24" s="19"/>
      <c r="S24" s="19"/>
      <c r="T24" s="19"/>
      <c r="U24" s="19"/>
      <c r="V24" s="19"/>
      <c r="W24" s="19"/>
      <c r="X24" s="19"/>
      <c r="Y24" s="19"/>
      <c r="Z24" s="19"/>
      <c r="AA24" s="19"/>
      <c r="AB24" s="19"/>
      <c r="AC24" s="19"/>
    </row>
    <row r="25" spans="2:29" ht="25.2" customHeight="1" x14ac:dyDescent="0.3">
      <c r="B25" s="19"/>
      <c r="C25" s="19"/>
      <c r="D25" s="19"/>
      <c r="E25" s="19"/>
      <c r="F25" s="19"/>
      <c r="G25" s="19"/>
      <c r="H25" s="19"/>
      <c r="I25" s="23"/>
      <c r="J25" s="23"/>
      <c r="K25" s="23"/>
      <c r="L25" s="18"/>
      <c r="M25" s="18"/>
      <c r="N25" s="18"/>
      <c r="O25" s="18"/>
      <c r="P25" s="18"/>
      <c r="Q25" s="18"/>
      <c r="R25" s="19"/>
      <c r="S25" s="19"/>
      <c r="T25" s="19"/>
      <c r="U25" s="19"/>
      <c r="V25" s="19"/>
      <c r="W25" s="19"/>
      <c r="X25" s="19"/>
      <c r="Y25" s="19"/>
      <c r="Z25" s="19"/>
      <c r="AA25" s="19"/>
      <c r="AB25" s="19"/>
      <c r="AC25" s="19"/>
    </row>
    <row r="26" spans="2:29" ht="25.2" customHeight="1" x14ac:dyDescent="0.3">
      <c r="B26" s="19"/>
      <c r="C26" s="19"/>
      <c r="D26" s="19"/>
      <c r="E26" s="19"/>
      <c r="F26" s="19"/>
      <c r="G26" s="19"/>
      <c r="H26" s="19"/>
      <c r="I26" s="23"/>
      <c r="J26" s="23"/>
      <c r="K26" s="23"/>
      <c r="L26" s="18"/>
      <c r="M26" s="18"/>
      <c r="N26" s="18"/>
      <c r="O26" s="18"/>
      <c r="P26" s="18"/>
      <c r="Q26" s="18"/>
      <c r="R26" s="19"/>
      <c r="S26" s="19"/>
      <c r="T26" s="19"/>
      <c r="U26" s="19"/>
      <c r="V26" s="19"/>
      <c r="W26" s="19"/>
      <c r="X26" s="19"/>
      <c r="Y26" s="19"/>
      <c r="Z26" s="19"/>
      <c r="AA26" s="19"/>
      <c r="AB26" s="19"/>
      <c r="AC26" s="19"/>
    </row>
    <row r="27" spans="2:29" ht="25.2" customHeight="1" x14ac:dyDescent="0.3">
      <c r="B27" s="19"/>
      <c r="C27" s="19"/>
      <c r="D27" s="19"/>
      <c r="E27" s="19"/>
      <c r="F27" s="19"/>
      <c r="G27" s="19"/>
      <c r="H27" s="19"/>
      <c r="I27" s="23"/>
      <c r="J27" s="23"/>
      <c r="K27" s="23"/>
      <c r="L27" s="18"/>
      <c r="M27" s="18"/>
      <c r="N27" s="18"/>
      <c r="O27" s="18"/>
      <c r="P27" s="18"/>
      <c r="Q27" s="18"/>
      <c r="R27" s="19"/>
      <c r="S27" s="19"/>
      <c r="T27" s="19"/>
      <c r="U27" s="19"/>
      <c r="V27" s="19"/>
      <c r="W27" s="19"/>
      <c r="X27" s="19"/>
      <c r="Y27" s="19"/>
      <c r="Z27" s="19"/>
      <c r="AA27" s="19"/>
      <c r="AB27" s="19"/>
      <c r="AC27" s="19"/>
    </row>
    <row r="28" spans="2:29" ht="25.2" customHeight="1" x14ac:dyDescent="0.3">
      <c r="B28" s="19"/>
      <c r="C28" s="19"/>
      <c r="D28" s="19"/>
      <c r="E28" s="19"/>
      <c r="F28" s="19"/>
      <c r="G28" s="19"/>
      <c r="H28" s="19"/>
      <c r="I28" s="22"/>
      <c r="J28" s="22"/>
      <c r="K28" s="22"/>
      <c r="L28" s="18"/>
      <c r="M28" s="18"/>
      <c r="N28" s="18"/>
      <c r="O28" s="18"/>
      <c r="P28" s="18"/>
      <c r="Q28" s="18"/>
      <c r="R28" s="22"/>
      <c r="S28" s="19"/>
      <c r="T28" s="19"/>
      <c r="U28" s="19"/>
      <c r="V28" s="19"/>
      <c r="W28" s="19"/>
      <c r="X28" s="19"/>
      <c r="Y28" s="19"/>
      <c r="Z28" s="19"/>
      <c r="AA28" s="19"/>
      <c r="AB28" s="19"/>
      <c r="AC28" s="19"/>
    </row>
    <row r="29" spans="2:29" ht="25.2" customHeight="1" x14ac:dyDescent="0.3">
      <c r="B29" s="19"/>
      <c r="C29" s="19"/>
      <c r="D29" s="19"/>
      <c r="E29" s="19"/>
      <c r="F29" s="19"/>
      <c r="G29" s="19"/>
      <c r="H29" s="19"/>
      <c r="I29" s="23"/>
      <c r="J29" s="23"/>
      <c r="K29" s="23"/>
      <c r="L29" s="18"/>
      <c r="M29" s="18"/>
      <c r="N29" s="18"/>
      <c r="O29" s="18"/>
      <c r="P29" s="18"/>
      <c r="Q29" s="18"/>
      <c r="R29" s="23"/>
      <c r="S29" s="19"/>
      <c r="T29" s="19"/>
      <c r="U29" s="19"/>
      <c r="V29" s="19"/>
      <c r="W29" s="19"/>
      <c r="X29" s="19"/>
      <c r="Y29" s="19"/>
      <c r="Z29" s="19"/>
      <c r="AA29" s="19"/>
      <c r="AB29" s="19"/>
      <c r="AC29" s="19"/>
    </row>
    <row r="30" spans="2:29" ht="18.600000000000001" customHeight="1" x14ac:dyDescent="0.3">
      <c r="B30" s="19"/>
      <c r="C30" s="19"/>
      <c r="D30" s="19"/>
      <c r="E30" s="19"/>
      <c r="F30" s="19"/>
      <c r="G30" s="19"/>
      <c r="H30" s="19"/>
      <c r="I30" s="23"/>
      <c r="J30" s="23"/>
      <c r="K30" s="23"/>
      <c r="L30" s="23"/>
      <c r="M30" s="23"/>
      <c r="N30" s="23"/>
      <c r="O30" s="23"/>
      <c r="P30" s="23"/>
      <c r="Q30" s="23"/>
      <c r="R30" s="23"/>
      <c r="S30" s="19"/>
      <c r="T30" s="19"/>
      <c r="U30" s="19"/>
      <c r="V30" s="19"/>
      <c r="W30" s="19"/>
      <c r="X30" s="19"/>
      <c r="Y30" s="19"/>
      <c r="Z30" s="19"/>
      <c r="AA30" s="19"/>
      <c r="AB30" s="19"/>
      <c r="AC30" s="19"/>
    </row>
    <row r="31" spans="2:29" ht="25.8" customHeight="1" x14ac:dyDescent="0.3">
      <c r="B31" s="19"/>
      <c r="C31" s="19"/>
      <c r="D31" s="19"/>
      <c r="E31" s="19"/>
      <c r="F31" s="19"/>
      <c r="G31" s="19"/>
      <c r="H31" s="19"/>
      <c r="I31" s="19"/>
      <c r="J31" s="18"/>
      <c r="K31" s="18"/>
      <c r="L31" s="18"/>
      <c r="M31" s="18"/>
      <c r="N31" s="18"/>
      <c r="O31" s="18"/>
      <c r="P31" s="19"/>
      <c r="Q31" s="19"/>
      <c r="R31" s="19"/>
      <c r="S31" s="19"/>
      <c r="T31" s="19"/>
      <c r="U31" s="19"/>
      <c r="V31" s="19"/>
      <c r="W31" s="19"/>
      <c r="X31" s="19"/>
      <c r="Y31" s="19"/>
      <c r="Z31" s="19"/>
      <c r="AA31" s="19"/>
      <c r="AB31" s="19"/>
      <c r="AC31" s="19"/>
    </row>
    <row r="32" spans="2:29" ht="25.8" customHeight="1" x14ac:dyDescent="0.3">
      <c r="B32" s="19"/>
      <c r="C32" s="19"/>
      <c r="D32" s="19"/>
      <c r="E32" s="19"/>
      <c r="F32" s="19"/>
      <c r="G32" s="19"/>
      <c r="H32" s="19"/>
      <c r="I32" s="19"/>
      <c r="J32" s="18"/>
      <c r="K32" s="18"/>
      <c r="L32" s="18"/>
      <c r="M32" s="18"/>
      <c r="N32" s="18"/>
      <c r="O32" s="18"/>
      <c r="P32" s="19"/>
      <c r="Q32" s="19"/>
      <c r="R32" s="19"/>
      <c r="S32" s="19"/>
      <c r="T32" s="19"/>
      <c r="U32" s="19"/>
      <c r="V32" s="19"/>
      <c r="W32" s="19"/>
      <c r="X32" s="19"/>
      <c r="Y32" s="19"/>
      <c r="Z32" s="19"/>
      <c r="AA32" s="19"/>
      <c r="AB32" s="19"/>
      <c r="AC32" s="19"/>
    </row>
    <row r="33" spans="2:29" ht="25.8" customHeight="1" x14ac:dyDescent="0.3">
      <c r="B33" s="19"/>
      <c r="C33" s="19"/>
      <c r="D33" s="19"/>
      <c r="E33" s="19"/>
      <c r="F33" s="19"/>
      <c r="G33" s="19"/>
      <c r="H33" s="19"/>
      <c r="I33" s="19"/>
      <c r="J33" s="18"/>
      <c r="K33" s="18"/>
      <c r="L33" s="18"/>
      <c r="M33" s="18"/>
      <c r="N33" s="18"/>
      <c r="O33" s="18"/>
      <c r="P33" s="19"/>
      <c r="Q33" s="19"/>
      <c r="R33" s="19"/>
      <c r="S33" s="19"/>
      <c r="T33" s="19"/>
      <c r="U33" s="19"/>
      <c r="V33" s="19"/>
      <c r="W33" s="19"/>
      <c r="X33" s="19"/>
      <c r="Y33" s="19"/>
      <c r="Z33" s="19"/>
      <c r="AA33" s="19"/>
      <c r="AB33" s="19"/>
      <c r="AC33" s="19"/>
    </row>
    <row r="34" spans="2:29" ht="25.8" customHeight="1" x14ac:dyDescent="0.3">
      <c r="B34" s="19"/>
      <c r="C34" s="19"/>
      <c r="D34" s="19"/>
      <c r="E34" s="19"/>
      <c r="F34" s="19"/>
      <c r="G34" s="19"/>
      <c r="H34" s="19"/>
      <c r="I34" s="19"/>
      <c r="J34" s="18"/>
      <c r="K34" s="18"/>
      <c r="L34" s="18"/>
      <c r="M34" s="18"/>
      <c r="N34" s="18"/>
      <c r="O34" s="18"/>
      <c r="P34" s="19"/>
      <c r="Q34" s="19"/>
      <c r="R34" s="19"/>
      <c r="S34" s="19"/>
      <c r="T34" s="19"/>
      <c r="U34" s="19"/>
      <c r="V34" s="19"/>
      <c r="W34" s="19"/>
      <c r="X34" s="19"/>
      <c r="Y34" s="19"/>
      <c r="Z34" s="19"/>
      <c r="AA34" s="19"/>
      <c r="AB34" s="19"/>
      <c r="AC34" s="19"/>
    </row>
    <row r="35" spans="2:29" ht="25.8" customHeight="1" x14ac:dyDescent="0.3">
      <c r="B35" s="19"/>
      <c r="C35" s="19"/>
      <c r="D35" s="19"/>
      <c r="E35" s="19"/>
      <c r="F35" s="19"/>
      <c r="G35" s="19"/>
      <c r="H35" s="19"/>
      <c r="I35" s="19"/>
      <c r="J35" s="18"/>
      <c r="K35" s="18"/>
      <c r="L35" s="34"/>
      <c r="M35" s="34"/>
      <c r="N35" s="34"/>
      <c r="O35" s="34"/>
      <c r="P35" s="34"/>
      <c r="Q35" s="34"/>
      <c r="R35" s="19"/>
      <c r="S35" s="19"/>
      <c r="T35" s="19"/>
      <c r="U35" s="19"/>
      <c r="V35" s="19"/>
      <c r="W35" s="19"/>
      <c r="X35" s="19"/>
      <c r="Y35" s="19"/>
      <c r="Z35" s="19"/>
      <c r="AA35" s="19"/>
      <c r="AB35" s="19"/>
      <c r="AC35" s="19"/>
    </row>
    <row r="36" spans="2:29" ht="18" x14ac:dyDescent="0.3">
      <c r="B36" s="19"/>
      <c r="C36" s="19"/>
      <c r="D36" s="19"/>
      <c r="E36" s="19"/>
      <c r="F36" s="19"/>
      <c r="G36" s="19"/>
      <c r="H36" s="19"/>
      <c r="I36" s="19"/>
      <c r="J36" s="19"/>
      <c r="K36" s="19"/>
      <c r="L36" s="27"/>
      <c r="M36" s="27"/>
      <c r="N36" s="27"/>
      <c r="O36" s="27"/>
      <c r="P36" s="27"/>
      <c r="Q36" s="27"/>
      <c r="R36" s="19"/>
      <c r="S36" s="19"/>
      <c r="T36" s="19"/>
      <c r="U36" s="19"/>
      <c r="V36" s="19"/>
      <c r="W36" s="19"/>
      <c r="X36" s="19"/>
      <c r="Y36" s="19"/>
      <c r="Z36" s="19"/>
      <c r="AA36" s="19"/>
      <c r="AB36" s="19"/>
      <c r="AC36" s="19"/>
    </row>
    <row r="37" spans="2:29" x14ac:dyDescent="0.3">
      <c r="B37" s="19"/>
      <c r="C37" s="19"/>
      <c r="D37" s="19"/>
      <c r="E37" s="19"/>
      <c r="F37" s="19"/>
      <c r="G37" s="19"/>
      <c r="H37" s="19"/>
      <c r="I37" s="19"/>
      <c r="J37" s="19"/>
      <c r="K37" s="19"/>
      <c r="L37" s="18"/>
      <c r="M37" s="18"/>
      <c r="N37" s="18"/>
      <c r="O37" s="18"/>
      <c r="P37" s="18"/>
      <c r="Q37" s="18"/>
      <c r="R37" s="19"/>
      <c r="S37" s="19"/>
      <c r="T37" s="19"/>
      <c r="U37" s="19"/>
      <c r="V37" s="19"/>
      <c r="W37" s="19"/>
      <c r="X37" s="19"/>
      <c r="Y37" s="19"/>
      <c r="Z37" s="19"/>
      <c r="AA37" s="19"/>
      <c r="AB37" s="19"/>
      <c r="AC37" s="19"/>
    </row>
    <row r="38" spans="2:29" x14ac:dyDescent="0.3">
      <c r="B38" s="19"/>
      <c r="C38" s="19"/>
      <c r="D38" s="19"/>
      <c r="E38" s="19"/>
      <c r="F38" s="19"/>
      <c r="G38" s="19"/>
      <c r="H38" s="19"/>
      <c r="I38" s="19"/>
      <c r="J38" s="19"/>
      <c r="K38" s="19"/>
      <c r="L38" s="18"/>
      <c r="M38" s="18"/>
      <c r="N38" s="18"/>
      <c r="O38" s="18"/>
      <c r="P38" s="18"/>
      <c r="Q38" s="18"/>
      <c r="R38" s="19"/>
      <c r="S38" s="19"/>
      <c r="T38" s="19"/>
      <c r="U38" s="19"/>
      <c r="V38" s="19"/>
      <c r="W38" s="19"/>
      <c r="X38" s="19"/>
      <c r="Y38" s="19"/>
      <c r="Z38" s="19"/>
      <c r="AA38" s="19"/>
      <c r="AB38" s="19"/>
      <c r="AC38" s="19"/>
    </row>
    <row r="39" spans="2:29" x14ac:dyDescent="0.3">
      <c r="B39" s="19"/>
      <c r="C39" s="19"/>
      <c r="D39" s="19"/>
      <c r="E39" s="19"/>
      <c r="F39" s="19"/>
      <c r="G39" s="19"/>
      <c r="H39" s="19"/>
      <c r="I39" s="19"/>
      <c r="J39" s="19"/>
      <c r="K39" s="19"/>
      <c r="L39" s="18"/>
      <c r="M39" s="18"/>
      <c r="N39" s="18"/>
      <c r="O39" s="18"/>
      <c r="P39" s="18"/>
      <c r="Q39" s="18"/>
      <c r="R39" s="19"/>
      <c r="S39" s="19"/>
      <c r="T39" s="19"/>
      <c r="U39" s="19"/>
      <c r="V39" s="19"/>
      <c r="W39" s="19"/>
      <c r="X39" s="19"/>
      <c r="Y39" s="19"/>
      <c r="Z39" s="19"/>
      <c r="AA39" s="19"/>
      <c r="AB39" s="19"/>
      <c r="AC39" s="19"/>
    </row>
    <row r="40" spans="2:29" x14ac:dyDescent="0.3">
      <c r="B40" s="19"/>
      <c r="C40" s="19"/>
      <c r="D40" s="19"/>
      <c r="E40" s="19"/>
      <c r="F40" s="19"/>
      <c r="G40" s="19"/>
      <c r="H40" s="19"/>
      <c r="I40" s="19"/>
      <c r="J40" s="19"/>
      <c r="K40" s="19"/>
      <c r="L40" s="18"/>
      <c r="M40" s="18"/>
      <c r="N40" s="18"/>
      <c r="O40" s="18"/>
      <c r="P40" s="18"/>
      <c r="Q40" s="18"/>
      <c r="R40" s="19"/>
      <c r="S40" s="19"/>
      <c r="T40" s="19"/>
      <c r="U40" s="19"/>
      <c r="V40" s="19"/>
      <c r="W40" s="19"/>
      <c r="X40" s="19"/>
      <c r="Y40" s="19"/>
      <c r="Z40" s="19"/>
      <c r="AA40" s="19"/>
      <c r="AB40" s="19"/>
      <c r="AC40" s="19"/>
    </row>
    <row r="41" spans="2:29" x14ac:dyDescent="0.3">
      <c r="B41" s="19"/>
      <c r="C41" s="19"/>
      <c r="D41" s="19"/>
      <c r="E41" s="19"/>
      <c r="F41" s="19"/>
      <c r="G41" s="19"/>
      <c r="H41" s="19"/>
      <c r="I41" s="19"/>
      <c r="J41" s="19"/>
      <c r="K41" s="19"/>
      <c r="L41" s="18"/>
      <c r="M41" s="18"/>
      <c r="N41" s="18"/>
      <c r="O41" s="18"/>
      <c r="P41" s="18"/>
      <c r="Q41" s="18"/>
      <c r="R41" s="19"/>
      <c r="S41" s="19"/>
      <c r="T41" s="19"/>
      <c r="U41" s="19"/>
      <c r="V41" s="19"/>
      <c r="W41" s="19"/>
      <c r="X41" s="19"/>
      <c r="Y41" s="19"/>
      <c r="Z41" s="19"/>
      <c r="AA41" s="19"/>
      <c r="AB41" s="19"/>
      <c r="AC41" s="19"/>
    </row>
    <row r="42" spans="2:29" x14ac:dyDescent="0.3">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row>
    <row r="43" spans="2:29" x14ac:dyDescent="0.3">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row>
    <row r="44" spans="2:29" x14ac:dyDescent="0.3">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row>
    <row r="45" spans="2:29" x14ac:dyDescent="0.3">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row>
    <row r="46" spans="2:29" x14ac:dyDescent="0.3">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row>
    <row r="47" spans="2:29" x14ac:dyDescent="0.3">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row>
    <row r="48" spans="2:29" x14ac:dyDescent="0.3">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row>
    <row r="49" spans="2:29" x14ac:dyDescent="0.3">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row>
  </sheetData>
  <sheetProtection algorithmName="SHA-512" hashValue="wjTNV5Ay2/HOmniXNxWgvIoX5/BYIhcsMivtbejBY6D5d2Iy7XwAbk9AyaM6fhNhKDL189Sdr4XBOSM0l+TTvw==" saltValue="JShteONh1LFskv3rnak9sA==" spinCount="100000" sheet="1" objects="1" scenarios="1" selectLockedCells="1"/>
  <mergeCells count="6">
    <mergeCell ref="P14:Q15"/>
    <mergeCell ref="M6:M8"/>
    <mergeCell ref="I21:M21"/>
    <mergeCell ref="L35:Q35"/>
    <mergeCell ref="L15:M16"/>
    <mergeCell ref="O14:O15"/>
  </mergeCells>
  <pageMargins left="0.7" right="0.7" top="0.75" bottom="0.75" header="0.3" footer="0.3"/>
  <pageSetup paperSize="9" scale="42"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07DE-1152-4B7D-B9C4-857E79098769}">
  <sheetPr>
    <tabColor theme="2"/>
    <pageSetUpPr fitToPage="1"/>
  </sheetPr>
  <dimension ref="B2:AF49"/>
  <sheetViews>
    <sheetView showGridLines="0" showRowColHeaders="0" zoomScale="60" zoomScaleNormal="60" workbookViewId="0">
      <selection activeCell="L54" sqref="L54"/>
    </sheetView>
  </sheetViews>
  <sheetFormatPr defaultRowHeight="14.4" x14ac:dyDescent="0.3"/>
  <cols>
    <col min="9" max="10" width="12.5546875" customWidth="1"/>
    <col min="11" max="11" width="12.88671875" customWidth="1"/>
    <col min="12" max="12" width="15.6640625" customWidth="1"/>
    <col min="13" max="13" width="20.5546875" customWidth="1"/>
    <col min="14" max="14" width="10.5546875" customWidth="1"/>
    <col min="15" max="15" width="23.33203125" customWidth="1"/>
    <col min="16" max="16" width="20.5546875" customWidth="1"/>
    <col min="17" max="17" width="14.21875" customWidth="1"/>
    <col min="18" max="18" width="16.77734375" customWidth="1"/>
    <col min="19" max="19" width="19" customWidth="1"/>
    <col min="20" max="20" width="8.6640625" customWidth="1"/>
    <col min="24" max="24" width="13.109375" customWidth="1"/>
    <col min="25" max="25" width="4.88671875" customWidth="1"/>
  </cols>
  <sheetData>
    <row r="2" spans="2:29" ht="17.399999999999999" customHeight="1" x14ac:dyDescent="0.3"/>
    <row r="4" spans="2:29" ht="13.8" customHeight="1" x14ac:dyDescent="0.3"/>
    <row r="5" spans="2:29" hidden="1" x14ac:dyDescent="0.3"/>
    <row r="6" spans="2:29" ht="33" customHeight="1" x14ac:dyDescent="0.3">
      <c r="B6" s="19"/>
      <c r="C6" s="19"/>
      <c r="D6" s="19"/>
      <c r="E6" s="19"/>
      <c r="F6" s="19"/>
      <c r="G6" s="19"/>
      <c r="H6" s="19"/>
      <c r="I6" s="19"/>
      <c r="J6" s="19"/>
      <c r="K6" s="19"/>
      <c r="L6" s="19"/>
      <c r="M6" s="31"/>
      <c r="N6" s="19"/>
      <c r="O6" s="19"/>
      <c r="P6" s="19"/>
      <c r="Q6" s="19"/>
      <c r="R6" s="19"/>
      <c r="S6" s="19"/>
      <c r="T6" s="19"/>
      <c r="U6" s="19"/>
      <c r="V6" s="19"/>
      <c r="W6" s="19"/>
      <c r="X6" s="19"/>
      <c r="Y6" s="19"/>
      <c r="Z6" s="19"/>
      <c r="AA6" s="19"/>
      <c r="AB6" s="19"/>
      <c r="AC6" s="19"/>
    </row>
    <row r="7" spans="2:29" ht="28.8" customHeight="1" x14ac:dyDescent="0.3">
      <c r="B7" s="19"/>
      <c r="C7" s="19"/>
      <c r="D7" s="19"/>
      <c r="E7" s="19"/>
      <c r="F7" s="19"/>
      <c r="G7" s="19"/>
      <c r="H7" s="19"/>
      <c r="I7" s="19"/>
      <c r="J7" s="19"/>
      <c r="K7" s="19"/>
      <c r="L7" s="19"/>
      <c r="M7" s="31"/>
      <c r="N7" s="19"/>
      <c r="O7" s="19"/>
      <c r="P7" s="19"/>
      <c r="Q7" s="19"/>
      <c r="R7" s="19"/>
      <c r="S7" s="19"/>
      <c r="T7" s="19"/>
      <c r="U7" s="19"/>
      <c r="V7" s="19"/>
      <c r="W7" s="19"/>
      <c r="X7" s="19"/>
      <c r="Y7" s="19"/>
      <c r="Z7" s="19"/>
      <c r="AA7" s="19"/>
      <c r="AB7" s="19"/>
      <c r="AC7" s="19"/>
    </row>
    <row r="8" spans="2:29" x14ac:dyDescent="0.3">
      <c r="B8" s="19"/>
      <c r="C8" s="19"/>
      <c r="D8" s="19"/>
      <c r="E8" s="19"/>
      <c r="F8" s="19"/>
      <c r="G8" s="19"/>
      <c r="H8" s="19"/>
      <c r="I8" s="19"/>
      <c r="J8" s="19"/>
      <c r="K8" s="19"/>
      <c r="L8" s="19"/>
      <c r="M8" s="31"/>
      <c r="N8" s="19"/>
      <c r="O8" s="19"/>
      <c r="P8" s="19"/>
      <c r="Q8" s="19"/>
      <c r="R8" s="19"/>
      <c r="S8" s="19"/>
      <c r="T8" s="19"/>
      <c r="U8" s="19"/>
      <c r="V8" s="19"/>
      <c r="W8" s="19"/>
      <c r="X8" s="19"/>
      <c r="Y8" s="19"/>
      <c r="Z8" s="19"/>
      <c r="AA8" s="19"/>
      <c r="AB8" s="19"/>
      <c r="AC8" s="19"/>
    </row>
    <row r="9" spans="2:29" x14ac:dyDescent="0.3">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row>
    <row r="10" spans="2:29" x14ac:dyDescent="0.3">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row>
    <row r="11" spans="2:29" x14ac:dyDescent="0.3">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row>
    <row r="12" spans="2:29" x14ac:dyDescent="0.3">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row>
    <row r="13" spans="2:29" x14ac:dyDescent="0.3">
      <c r="B13" s="19"/>
      <c r="C13" s="19"/>
      <c r="D13" s="19"/>
      <c r="E13" s="19"/>
      <c r="F13" s="19"/>
      <c r="G13" s="19"/>
      <c r="H13" s="19"/>
      <c r="I13" s="19"/>
      <c r="J13" s="19"/>
      <c r="K13" s="19"/>
      <c r="L13" s="19"/>
      <c r="M13" s="19"/>
      <c r="N13" s="19"/>
      <c r="O13" s="20"/>
      <c r="P13" s="19"/>
      <c r="Q13" s="19"/>
      <c r="R13" s="19"/>
      <c r="S13" s="19"/>
      <c r="T13" s="19"/>
      <c r="U13" s="19"/>
      <c r="V13" s="19"/>
      <c r="W13" s="19"/>
      <c r="X13" s="19"/>
      <c r="Y13" s="19"/>
      <c r="Z13" s="19"/>
      <c r="AA13" s="19"/>
      <c r="AB13" s="19"/>
      <c r="AC13" s="19"/>
    </row>
    <row r="14" spans="2:29" ht="17.399999999999999" customHeight="1" x14ac:dyDescent="0.3">
      <c r="B14" s="19"/>
      <c r="C14" s="19"/>
      <c r="D14" s="19"/>
      <c r="E14" s="19"/>
      <c r="F14" s="19"/>
      <c r="G14" s="19"/>
      <c r="H14" s="19"/>
      <c r="I14" s="19"/>
      <c r="J14" s="21"/>
      <c r="K14" s="21"/>
      <c r="L14" s="21"/>
      <c r="M14" s="21"/>
      <c r="N14" s="21"/>
      <c r="O14" s="35">
        <f>GETPIVOTDATA("[Measures].[Sum of Total No.]",'Pivot Table'!$A$22,"[Table2].[Gender]","[Table2].[Gender].&amp;[Male]")</f>
        <v>122705</v>
      </c>
      <c r="P14" s="35">
        <f>GETPIVOTDATA("[Measures].[Sum of Total No.]",'Pivot Table'!$A$22,"[Table2].[Gender]","[Table2].[Gender].&amp;[Female]")</f>
        <v>48191</v>
      </c>
      <c r="Q14" s="35"/>
      <c r="R14" s="19"/>
      <c r="S14" s="19"/>
      <c r="T14" s="19"/>
      <c r="U14" s="19"/>
      <c r="V14" s="19"/>
      <c r="W14" s="19"/>
      <c r="X14" s="19"/>
      <c r="Y14" s="19"/>
      <c r="Z14" s="19"/>
      <c r="AA14" s="19"/>
      <c r="AB14" s="19"/>
      <c r="AC14" s="19"/>
    </row>
    <row r="15" spans="2:29" ht="15.6" customHeight="1" x14ac:dyDescent="0.3">
      <c r="B15" s="19"/>
      <c r="C15" s="19"/>
      <c r="D15" s="19"/>
      <c r="E15" s="19"/>
      <c r="F15" s="19"/>
      <c r="G15" s="19"/>
      <c r="H15" s="19"/>
      <c r="I15" s="19"/>
      <c r="J15" s="19"/>
      <c r="K15" s="19"/>
      <c r="L15" s="36">
        <f>GETPIVOTDATA("[Measures].[Sum of Total No.]",'Pivot Table'!$A$22)</f>
        <v>170924</v>
      </c>
      <c r="M15" s="36"/>
      <c r="N15" s="22"/>
      <c r="O15" s="35"/>
      <c r="P15" s="35"/>
      <c r="Q15" s="35"/>
      <c r="R15" s="19"/>
      <c r="S15" s="19"/>
      <c r="T15" s="19"/>
      <c r="U15" s="19"/>
      <c r="V15" s="19"/>
      <c r="W15" s="19"/>
      <c r="X15" s="19"/>
      <c r="Y15" s="19"/>
      <c r="Z15" s="19"/>
      <c r="AA15" s="19"/>
      <c r="AB15" s="19"/>
      <c r="AC15" s="19"/>
    </row>
    <row r="16" spans="2:29" ht="14.4" customHeight="1" x14ac:dyDescent="0.3">
      <c r="B16" s="19"/>
      <c r="C16" s="19"/>
      <c r="D16" s="19"/>
      <c r="E16" s="19"/>
      <c r="F16" s="19"/>
      <c r="G16" s="19"/>
      <c r="H16" s="19"/>
      <c r="I16" s="19"/>
      <c r="J16" s="19"/>
      <c r="K16" s="19"/>
      <c r="L16" s="36"/>
      <c r="M16" s="36"/>
      <c r="N16" s="23"/>
      <c r="O16" s="19"/>
      <c r="P16" s="19"/>
      <c r="Q16" s="19"/>
      <c r="R16" s="19"/>
      <c r="S16" s="19"/>
      <c r="T16" s="19"/>
      <c r="U16" s="19"/>
      <c r="V16" s="19"/>
      <c r="W16" s="19"/>
      <c r="X16" s="19"/>
      <c r="Y16" s="19"/>
      <c r="Z16" s="19"/>
      <c r="AA16" s="19"/>
      <c r="AB16" s="19"/>
      <c r="AC16" s="19"/>
    </row>
    <row r="17" spans="2:32" ht="14.4" customHeight="1" x14ac:dyDescent="0.3">
      <c r="B17" s="19"/>
      <c r="C17" s="19"/>
      <c r="D17" s="19"/>
      <c r="E17" s="19"/>
      <c r="F17" s="19"/>
      <c r="G17" s="19"/>
      <c r="H17" s="19"/>
      <c r="I17" s="19"/>
      <c r="J17" s="19"/>
      <c r="K17" s="19"/>
      <c r="L17" s="24"/>
      <c r="M17" s="24"/>
      <c r="N17" s="23"/>
      <c r="O17" s="19"/>
      <c r="P17" s="19"/>
      <c r="Q17" s="19"/>
      <c r="R17" s="19"/>
      <c r="S17" s="19"/>
      <c r="T17" s="19"/>
      <c r="U17" s="19"/>
      <c r="V17" s="19"/>
      <c r="W17" s="19"/>
      <c r="X17" s="19"/>
      <c r="Y17" s="19"/>
      <c r="Z17" s="19"/>
      <c r="AA17" s="19"/>
      <c r="AB17" s="19"/>
      <c r="AC17" s="19"/>
    </row>
    <row r="18" spans="2:32" ht="14.4" customHeight="1" x14ac:dyDescent="0.3">
      <c r="B18" s="19"/>
      <c r="C18" s="19"/>
      <c r="D18" s="19"/>
      <c r="E18" s="19"/>
      <c r="F18" s="19"/>
      <c r="G18" s="19"/>
      <c r="H18" s="19"/>
      <c r="I18" s="19"/>
      <c r="J18" s="19"/>
      <c r="K18" s="19"/>
      <c r="L18" s="24"/>
      <c r="M18" s="24"/>
      <c r="N18" s="23"/>
      <c r="O18" s="19"/>
      <c r="P18" s="19"/>
      <c r="Q18" s="19"/>
      <c r="R18" s="19"/>
      <c r="S18" s="19"/>
      <c r="T18" s="19"/>
      <c r="U18" s="19"/>
      <c r="V18" s="19"/>
      <c r="W18" s="19"/>
      <c r="X18" s="19"/>
      <c r="Y18" s="19"/>
      <c r="Z18" s="19"/>
      <c r="AA18" s="25"/>
      <c r="AB18" s="19"/>
      <c r="AC18" s="19"/>
    </row>
    <row r="19" spans="2:32" ht="14.4" customHeight="1" x14ac:dyDescent="0.3">
      <c r="B19" s="19"/>
      <c r="C19" s="19"/>
      <c r="D19" s="19"/>
      <c r="E19" s="19"/>
      <c r="F19" s="19"/>
      <c r="G19" s="19"/>
      <c r="H19" s="19"/>
      <c r="I19" s="19"/>
      <c r="J19" s="19"/>
      <c r="K19" s="19"/>
      <c r="L19" s="24"/>
      <c r="M19" s="24"/>
      <c r="N19" s="23"/>
      <c r="O19" s="19"/>
      <c r="P19" s="19"/>
      <c r="Q19" s="19"/>
      <c r="R19" s="19"/>
      <c r="S19" s="19"/>
      <c r="T19" s="19"/>
      <c r="U19" s="19"/>
      <c r="V19" s="19"/>
      <c r="W19" s="19"/>
      <c r="X19" s="19"/>
      <c r="Y19" s="19"/>
      <c r="Z19" s="19"/>
      <c r="AA19" s="19"/>
      <c r="AB19" s="19"/>
      <c r="AC19" s="19"/>
    </row>
    <row r="20" spans="2:32" x14ac:dyDescent="0.3">
      <c r="B20" s="19"/>
      <c r="C20" s="19"/>
      <c r="D20" s="19"/>
      <c r="E20" s="19"/>
      <c r="F20" s="19"/>
      <c r="G20" s="19"/>
      <c r="H20" s="19"/>
      <c r="I20" s="19"/>
      <c r="J20" s="19"/>
      <c r="K20" s="19"/>
      <c r="L20" s="19"/>
      <c r="M20" s="19"/>
      <c r="N20" s="23"/>
      <c r="O20" s="19"/>
      <c r="P20" s="19"/>
      <c r="Q20" s="19"/>
      <c r="R20" s="19"/>
      <c r="S20" s="19"/>
      <c r="T20" s="19"/>
      <c r="U20" s="19"/>
      <c r="V20" s="19"/>
      <c r="W20" s="19"/>
      <c r="X20" s="19"/>
      <c r="Y20" s="19"/>
      <c r="Z20" s="19"/>
      <c r="AA20" s="19"/>
      <c r="AB20" s="19"/>
      <c r="AC20" s="19"/>
    </row>
    <row r="21" spans="2:32" ht="25.2" customHeight="1" x14ac:dyDescent="0.3">
      <c r="B21" s="19"/>
      <c r="C21" s="19"/>
      <c r="D21" s="19"/>
      <c r="E21" s="19"/>
      <c r="F21" s="19"/>
      <c r="G21" s="19"/>
      <c r="H21" s="19"/>
      <c r="I21" s="32"/>
      <c r="J21" s="32"/>
      <c r="K21" s="32"/>
      <c r="L21" s="32"/>
      <c r="M21" s="32"/>
      <c r="N21" s="23"/>
      <c r="O21" s="19"/>
      <c r="P21" s="19"/>
      <c r="Q21" s="19"/>
      <c r="R21" s="19"/>
      <c r="S21" s="19"/>
      <c r="T21" s="19"/>
      <c r="U21" s="19"/>
      <c r="V21" s="19"/>
      <c r="W21" s="19"/>
      <c r="X21" s="19"/>
      <c r="Y21" s="19"/>
      <c r="Z21" s="19"/>
      <c r="AA21" s="19"/>
      <c r="AB21" s="19"/>
      <c r="AC21" s="19"/>
    </row>
    <row r="22" spans="2:32" ht="22.2" customHeight="1" x14ac:dyDescent="0.3">
      <c r="B22" s="19"/>
      <c r="C22" s="19"/>
      <c r="D22" s="19"/>
      <c r="E22" s="19"/>
      <c r="F22" s="19"/>
      <c r="G22" s="19"/>
      <c r="H22" s="19"/>
      <c r="I22" s="22"/>
      <c r="J22" s="22"/>
      <c r="K22" s="22"/>
      <c r="L22" s="22"/>
      <c r="M22" s="22"/>
      <c r="N22" s="23"/>
      <c r="O22" s="19"/>
      <c r="P22" s="19"/>
      <c r="Q22" s="19"/>
      <c r="R22" s="19"/>
      <c r="S22" s="19"/>
      <c r="T22" s="19"/>
      <c r="U22" s="19"/>
      <c r="V22" s="19"/>
      <c r="W22" s="19"/>
      <c r="X22" s="19"/>
      <c r="Y22" s="19"/>
      <c r="Z22" s="19"/>
      <c r="AA22" s="19"/>
      <c r="AB22" s="19"/>
      <c r="AC22" s="19"/>
    </row>
    <row r="23" spans="2:32" ht="30.6" customHeight="1" x14ac:dyDescent="0.3">
      <c r="B23" s="19"/>
      <c r="C23" s="19"/>
      <c r="D23" s="19"/>
      <c r="E23" s="19"/>
      <c r="F23" s="19"/>
      <c r="G23" s="19"/>
      <c r="H23" s="19"/>
      <c r="I23" s="23"/>
      <c r="J23" s="23"/>
      <c r="K23" s="23"/>
      <c r="L23" s="26"/>
      <c r="M23" s="26"/>
      <c r="N23" s="26"/>
      <c r="O23" s="26"/>
      <c r="P23" s="26"/>
      <c r="Q23" s="26"/>
      <c r="R23" s="19"/>
      <c r="S23" s="19"/>
      <c r="T23" s="19"/>
      <c r="U23" s="19"/>
      <c r="V23" s="19"/>
      <c r="W23" s="19"/>
      <c r="X23" s="19"/>
      <c r="Y23" s="19"/>
      <c r="Z23" s="19"/>
      <c r="AA23" s="19"/>
      <c r="AB23" s="19"/>
      <c r="AC23" s="19"/>
      <c r="AF23" s="3"/>
    </row>
    <row r="24" spans="2:32" ht="25.2" customHeight="1" x14ac:dyDescent="0.3">
      <c r="B24" s="19"/>
      <c r="C24" s="19"/>
      <c r="D24" s="19"/>
      <c r="E24" s="19"/>
      <c r="F24" s="19"/>
      <c r="G24" s="19"/>
      <c r="H24" s="19"/>
      <c r="I24" s="23"/>
      <c r="J24" s="23"/>
      <c r="K24" s="23"/>
      <c r="L24" s="27"/>
      <c r="M24" s="27"/>
      <c r="N24" s="27"/>
      <c r="O24" s="27"/>
      <c r="P24" s="27"/>
      <c r="Q24" s="27"/>
      <c r="R24" s="19"/>
      <c r="S24" s="19"/>
      <c r="T24" s="19"/>
      <c r="U24" s="19"/>
      <c r="V24" s="19"/>
      <c r="W24" s="19"/>
      <c r="X24" s="19"/>
      <c r="Y24" s="19"/>
      <c r="Z24" s="19"/>
      <c r="AA24" s="19"/>
      <c r="AB24" s="19"/>
      <c r="AC24" s="19"/>
    </row>
    <row r="25" spans="2:32" ht="25.2" customHeight="1" x14ac:dyDescent="0.3">
      <c r="B25" s="19"/>
      <c r="C25" s="19"/>
      <c r="D25" s="19"/>
      <c r="E25" s="19"/>
      <c r="F25" s="19"/>
      <c r="G25" s="19"/>
      <c r="H25" s="19"/>
      <c r="I25" s="23"/>
      <c r="J25" s="23"/>
      <c r="K25" s="23"/>
      <c r="L25" s="18"/>
      <c r="M25" s="18"/>
      <c r="N25" s="18"/>
      <c r="O25" s="18"/>
      <c r="P25" s="18"/>
      <c r="Q25" s="18"/>
      <c r="R25" s="19"/>
      <c r="S25" s="19"/>
      <c r="T25" s="19"/>
      <c r="U25" s="19"/>
      <c r="V25" s="19"/>
      <c r="W25" s="19"/>
      <c r="X25" s="19"/>
      <c r="Y25" s="19"/>
      <c r="Z25" s="19"/>
      <c r="AA25" s="19"/>
      <c r="AB25" s="19"/>
      <c r="AC25" s="19"/>
    </row>
    <row r="26" spans="2:32" ht="25.2" customHeight="1" x14ac:dyDescent="0.3">
      <c r="B26" s="19"/>
      <c r="C26" s="19"/>
      <c r="D26" s="19"/>
      <c r="E26" s="19"/>
      <c r="F26" s="19"/>
      <c r="G26" s="19"/>
      <c r="H26" s="19"/>
      <c r="I26" s="23"/>
      <c r="J26" s="23"/>
      <c r="K26" s="23"/>
      <c r="L26" s="18"/>
      <c r="M26" s="18"/>
      <c r="N26" s="18"/>
      <c r="O26" s="18"/>
      <c r="P26" s="18"/>
      <c r="Q26" s="18"/>
      <c r="R26" s="19"/>
      <c r="S26" s="19"/>
      <c r="T26" s="19"/>
      <c r="U26" s="19"/>
      <c r="V26" s="19"/>
      <c r="W26" s="19"/>
      <c r="X26" s="19"/>
      <c r="Y26" s="19"/>
      <c r="Z26" s="19"/>
      <c r="AA26" s="19"/>
      <c r="AB26" s="19"/>
      <c r="AC26" s="19"/>
    </row>
    <row r="27" spans="2:32" ht="25.2" customHeight="1" x14ac:dyDescent="0.3">
      <c r="B27" s="19"/>
      <c r="C27" s="19"/>
      <c r="D27" s="19"/>
      <c r="E27" s="19"/>
      <c r="F27" s="19"/>
      <c r="G27" s="19"/>
      <c r="H27" s="19"/>
      <c r="I27" s="23"/>
      <c r="J27" s="23"/>
      <c r="K27" s="23"/>
      <c r="L27" s="18"/>
      <c r="M27" s="18"/>
      <c r="N27" s="18"/>
      <c r="O27" s="18"/>
      <c r="P27" s="18"/>
      <c r="Q27" s="18"/>
      <c r="R27" s="19"/>
      <c r="S27" s="19"/>
      <c r="T27" s="19"/>
      <c r="U27" s="19"/>
      <c r="V27" s="19"/>
      <c r="W27" s="19"/>
      <c r="X27" s="19"/>
      <c r="Y27" s="19"/>
      <c r="Z27" s="19"/>
      <c r="AA27" s="19"/>
      <c r="AB27" s="19"/>
      <c r="AC27" s="19"/>
    </row>
    <row r="28" spans="2:32" ht="25.2" customHeight="1" x14ac:dyDescent="0.3">
      <c r="B28" s="19"/>
      <c r="C28" s="19"/>
      <c r="D28" s="19"/>
      <c r="E28" s="19"/>
      <c r="F28" s="19"/>
      <c r="G28" s="19"/>
      <c r="H28" s="19"/>
      <c r="I28" s="22"/>
      <c r="J28" s="22"/>
      <c r="K28" s="22"/>
      <c r="L28" s="18"/>
      <c r="M28" s="18"/>
      <c r="N28" s="18"/>
      <c r="O28" s="18"/>
      <c r="P28" s="18"/>
      <c r="Q28" s="18"/>
      <c r="R28" s="22"/>
      <c r="S28" s="19"/>
      <c r="T28" s="19"/>
      <c r="U28" s="19"/>
      <c r="V28" s="19"/>
      <c r="W28" s="19"/>
      <c r="X28" s="19"/>
      <c r="Y28" s="19"/>
      <c r="Z28" s="19"/>
      <c r="AA28" s="19"/>
      <c r="AB28" s="19"/>
      <c r="AC28" s="19"/>
    </row>
    <row r="29" spans="2:32" ht="25.2" customHeight="1" x14ac:dyDescent="0.3">
      <c r="B29" s="19"/>
      <c r="C29" s="19"/>
      <c r="D29" s="19"/>
      <c r="E29" s="19"/>
      <c r="F29" s="19"/>
      <c r="G29" s="19"/>
      <c r="H29" s="19"/>
      <c r="I29" s="23"/>
      <c r="J29" s="23"/>
      <c r="K29" s="23"/>
      <c r="L29" s="18"/>
      <c r="M29" s="18"/>
      <c r="N29" s="18"/>
      <c r="O29" s="18"/>
      <c r="P29" s="18"/>
      <c r="Q29" s="18"/>
      <c r="R29" s="23"/>
      <c r="S29" s="19"/>
      <c r="T29" s="19"/>
      <c r="U29" s="19"/>
      <c r="V29" s="19"/>
      <c r="W29" s="19"/>
      <c r="X29" s="19"/>
      <c r="Y29" s="19"/>
      <c r="Z29" s="19"/>
      <c r="AA29" s="19"/>
      <c r="AB29" s="19"/>
      <c r="AC29" s="19"/>
    </row>
    <row r="30" spans="2:32" ht="18.600000000000001" customHeight="1" x14ac:dyDescent="0.3">
      <c r="B30" s="19"/>
      <c r="C30" s="19"/>
      <c r="D30" s="19"/>
      <c r="E30" s="19"/>
      <c r="F30" s="19"/>
      <c r="G30" s="19"/>
      <c r="H30" s="19"/>
      <c r="I30" s="23"/>
      <c r="J30" s="23"/>
      <c r="K30" s="23"/>
      <c r="L30" s="23"/>
      <c r="M30" s="23"/>
      <c r="N30" s="23"/>
      <c r="O30" s="23"/>
      <c r="P30" s="23"/>
      <c r="Q30" s="23"/>
      <c r="R30" s="23"/>
      <c r="S30" s="19"/>
      <c r="T30" s="19"/>
      <c r="U30" s="19"/>
      <c r="V30" s="19"/>
      <c r="W30" s="19"/>
      <c r="X30" s="19"/>
      <c r="Y30" s="19"/>
      <c r="Z30" s="19"/>
      <c r="AA30" s="19"/>
      <c r="AB30" s="19"/>
      <c r="AC30" s="19"/>
    </row>
    <row r="31" spans="2:32" ht="25.8" customHeight="1" x14ac:dyDescent="0.3">
      <c r="B31" s="19"/>
      <c r="C31" s="19"/>
      <c r="D31" s="19"/>
      <c r="E31" s="19"/>
      <c r="F31" s="19"/>
      <c r="G31" s="19"/>
      <c r="H31" s="19"/>
      <c r="I31" s="19"/>
      <c r="J31" s="18"/>
      <c r="K31" s="18"/>
      <c r="L31" s="18"/>
      <c r="M31" s="18"/>
      <c r="N31" s="18"/>
      <c r="O31" s="18"/>
      <c r="P31" s="19"/>
      <c r="Q31" s="19"/>
      <c r="R31" s="19"/>
      <c r="S31" s="19"/>
      <c r="T31" s="19"/>
      <c r="U31" s="19"/>
      <c r="V31" s="19"/>
      <c r="W31" s="19"/>
      <c r="X31" s="19"/>
      <c r="Y31" s="19"/>
      <c r="Z31" s="19"/>
      <c r="AA31" s="19"/>
      <c r="AB31" s="19"/>
      <c r="AC31" s="19"/>
    </row>
    <row r="32" spans="2:32" ht="25.8" customHeight="1" x14ac:dyDescent="0.3">
      <c r="B32" s="19"/>
      <c r="C32" s="19"/>
      <c r="D32" s="19"/>
      <c r="E32" s="19"/>
      <c r="F32" s="19"/>
      <c r="G32" s="19"/>
      <c r="H32" s="19"/>
      <c r="I32" s="19"/>
      <c r="J32" s="18"/>
      <c r="K32" s="18"/>
      <c r="L32" s="18"/>
      <c r="M32" s="18"/>
      <c r="N32" s="18"/>
      <c r="O32" s="18"/>
      <c r="P32" s="19"/>
      <c r="Q32" s="19"/>
      <c r="R32" s="19"/>
      <c r="S32" s="19"/>
      <c r="T32" s="19"/>
      <c r="U32" s="19"/>
      <c r="V32" s="19"/>
      <c r="W32" s="19"/>
      <c r="X32" s="19"/>
      <c r="Y32" s="19"/>
      <c r="Z32" s="19"/>
      <c r="AA32" s="19"/>
      <c r="AB32" s="19"/>
      <c r="AC32" s="19"/>
    </row>
    <row r="33" spans="2:29" ht="25.8" customHeight="1" x14ac:dyDescent="0.3">
      <c r="B33" s="19"/>
      <c r="C33" s="19"/>
      <c r="D33" s="19"/>
      <c r="E33" s="19"/>
      <c r="F33" s="19"/>
      <c r="G33" s="19"/>
      <c r="H33" s="19"/>
      <c r="I33" s="19"/>
      <c r="J33" s="18"/>
      <c r="K33" s="18"/>
      <c r="L33" s="18"/>
      <c r="M33" s="18"/>
      <c r="N33" s="18"/>
      <c r="O33" s="18"/>
      <c r="P33" s="19"/>
      <c r="Q33" s="19"/>
      <c r="R33" s="19"/>
      <c r="S33" s="19"/>
      <c r="T33" s="19"/>
      <c r="U33" s="19"/>
      <c r="V33" s="19"/>
      <c r="W33" s="19"/>
      <c r="X33" s="19"/>
      <c r="Y33" s="19"/>
      <c r="Z33" s="19"/>
      <c r="AA33" s="19"/>
      <c r="AB33" s="19"/>
      <c r="AC33" s="19"/>
    </row>
    <row r="34" spans="2:29" ht="25.8" customHeight="1" x14ac:dyDescent="0.3">
      <c r="B34" s="19"/>
      <c r="C34" s="19"/>
      <c r="D34" s="19"/>
      <c r="E34" s="19"/>
      <c r="F34" s="19"/>
      <c r="G34" s="19"/>
      <c r="H34" s="19"/>
      <c r="I34" s="19"/>
      <c r="J34" s="18"/>
      <c r="K34" s="18"/>
      <c r="L34" s="18"/>
      <c r="M34" s="18"/>
      <c r="N34" s="18"/>
      <c r="O34" s="18"/>
      <c r="P34" s="19"/>
      <c r="Q34" s="19"/>
      <c r="R34" s="19"/>
      <c r="S34" s="19"/>
      <c r="T34" s="19"/>
      <c r="U34" s="19"/>
      <c r="V34" s="19"/>
      <c r="W34" s="19"/>
      <c r="X34" s="19"/>
      <c r="Y34" s="19"/>
      <c r="Z34" s="19"/>
      <c r="AA34" s="19"/>
      <c r="AB34" s="19"/>
      <c r="AC34" s="19"/>
    </row>
    <row r="35" spans="2:29" ht="25.8" customHeight="1" x14ac:dyDescent="0.3">
      <c r="B35" s="19"/>
      <c r="C35" s="19"/>
      <c r="D35" s="19"/>
      <c r="E35" s="19"/>
      <c r="F35" s="19"/>
      <c r="G35" s="19"/>
      <c r="H35" s="19"/>
      <c r="I35" s="19"/>
      <c r="J35" s="18"/>
      <c r="K35" s="18"/>
      <c r="L35" s="34"/>
      <c r="M35" s="34"/>
      <c r="N35" s="34"/>
      <c r="O35" s="34"/>
      <c r="P35" s="34"/>
      <c r="Q35" s="34"/>
      <c r="R35" s="19"/>
      <c r="S35" s="19"/>
      <c r="T35" s="19"/>
      <c r="U35" s="19"/>
      <c r="V35" s="19"/>
      <c r="W35" s="19"/>
      <c r="X35" s="19"/>
      <c r="Y35" s="19"/>
      <c r="Z35" s="19"/>
      <c r="AA35" s="19"/>
      <c r="AB35" s="19"/>
      <c r="AC35" s="19"/>
    </row>
    <row r="36" spans="2:29" ht="18" x14ac:dyDescent="0.3">
      <c r="B36" s="19"/>
      <c r="C36" s="19"/>
      <c r="D36" s="19"/>
      <c r="E36" s="19"/>
      <c r="F36" s="19"/>
      <c r="G36" s="19"/>
      <c r="H36" s="19"/>
      <c r="I36" s="19"/>
      <c r="J36" s="19"/>
      <c r="K36" s="19"/>
      <c r="L36" s="27"/>
      <c r="M36" s="27"/>
      <c r="N36" s="27"/>
      <c r="O36" s="27"/>
      <c r="P36" s="27"/>
      <c r="Q36" s="27"/>
      <c r="R36" s="19"/>
      <c r="S36" s="19"/>
      <c r="T36" s="19"/>
      <c r="U36" s="19"/>
      <c r="V36" s="19"/>
      <c r="W36" s="19"/>
      <c r="X36" s="19"/>
      <c r="Y36" s="19"/>
      <c r="Z36" s="19"/>
      <c r="AA36" s="19"/>
      <c r="AB36" s="19"/>
      <c r="AC36" s="19"/>
    </row>
    <row r="37" spans="2:29" x14ac:dyDescent="0.3">
      <c r="B37" s="19"/>
      <c r="C37" s="19"/>
      <c r="D37" s="19"/>
      <c r="E37" s="19"/>
      <c r="F37" s="19"/>
      <c r="G37" s="19"/>
      <c r="H37" s="19"/>
      <c r="I37" s="19"/>
      <c r="J37" s="19"/>
      <c r="K37" s="19"/>
      <c r="L37" s="18"/>
      <c r="M37" s="18"/>
      <c r="N37" s="18"/>
      <c r="O37" s="18"/>
      <c r="P37" s="18"/>
      <c r="Q37" s="18"/>
      <c r="R37" s="19"/>
      <c r="S37" s="19"/>
      <c r="T37" s="19"/>
      <c r="U37" s="19"/>
      <c r="V37" s="19"/>
      <c r="W37" s="19"/>
      <c r="X37" s="19"/>
      <c r="Y37" s="19"/>
      <c r="Z37" s="19"/>
      <c r="AA37" s="19"/>
      <c r="AB37" s="19"/>
      <c r="AC37" s="19"/>
    </row>
    <row r="38" spans="2:29" x14ac:dyDescent="0.3">
      <c r="B38" s="19"/>
      <c r="C38" s="19"/>
      <c r="D38" s="19"/>
      <c r="E38" s="19"/>
      <c r="F38" s="19"/>
      <c r="G38" s="19"/>
      <c r="H38" s="19"/>
      <c r="I38" s="19"/>
      <c r="J38" s="19"/>
      <c r="K38" s="19"/>
      <c r="L38" s="18"/>
      <c r="M38" s="18"/>
      <c r="N38" s="18"/>
      <c r="O38" s="18"/>
      <c r="P38" s="18"/>
      <c r="Q38" s="18"/>
      <c r="R38" s="19"/>
      <c r="S38" s="19"/>
      <c r="T38" s="19"/>
      <c r="U38" s="19"/>
      <c r="V38" s="19"/>
      <c r="W38" s="19"/>
      <c r="X38" s="19"/>
      <c r="Y38" s="19"/>
      <c r="Z38" s="19"/>
      <c r="AA38" s="19"/>
      <c r="AB38" s="19"/>
      <c r="AC38" s="19"/>
    </row>
    <row r="39" spans="2:29" x14ac:dyDescent="0.3">
      <c r="B39" s="19"/>
      <c r="C39" s="19"/>
      <c r="D39" s="19"/>
      <c r="E39" s="19"/>
      <c r="F39" s="19"/>
      <c r="G39" s="19"/>
      <c r="H39" s="19"/>
      <c r="I39" s="19"/>
      <c r="J39" s="19"/>
      <c r="K39" s="19"/>
      <c r="L39" s="18"/>
      <c r="M39" s="18"/>
      <c r="N39" s="18"/>
      <c r="O39" s="18"/>
      <c r="P39" s="18"/>
      <c r="Q39" s="18"/>
      <c r="R39" s="19"/>
      <c r="S39" s="19"/>
      <c r="T39" s="19"/>
      <c r="U39" s="19"/>
      <c r="V39" s="19"/>
      <c r="W39" s="19"/>
      <c r="X39" s="19"/>
      <c r="Y39" s="19"/>
      <c r="Z39" s="19"/>
      <c r="AA39" s="19"/>
      <c r="AB39" s="19"/>
      <c r="AC39" s="19"/>
    </row>
    <row r="40" spans="2:29" x14ac:dyDescent="0.3">
      <c r="B40" s="19"/>
      <c r="C40" s="19"/>
      <c r="D40" s="19"/>
      <c r="E40" s="19"/>
      <c r="F40" s="19"/>
      <c r="G40" s="19"/>
      <c r="H40" s="19"/>
      <c r="I40" s="19"/>
      <c r="J40" s="19"/>
      <c r="K40" s="19"/>
      <c r="L40" s="18"/>
      <c r="M40" s="18"/>
      <c r="N40" s="18"/>
      <c r="O40" s="18"/>
      <c r="P40" s="18"/>
      <c r="Q40" s="18"/>
      <c r="R40" s="19"/>
      <c r="S40" s="19"/>
      <c r="T40" s="19"/>
      <c r="U40" s="19"/>
      <c r="V40" s="19"/>
      <c r="W40" s="19"/>
      <c r="X40" s="19"/>
      <c r="Y40" s="19"/>
      <c r="Z40" s="19"/>
      <c r="AA40" s="19"/>
      <c r="AB40" s="19"/>
      <c r="AC40" s="19"/>
    </row>
    <row r="41" spans="2:29" x14ac:dyDescent="0.3">
      <c r="B41" s="19"/>
      <c r="C41" s="19"/>
      <c r="D41" s="19"/>
      <c r="E41" s="19"/>
      <c r="F41" s="19"/>
      <c r="G41" s="19"/>
      <c r="H41" s="19"/>
      <c r="I41" s="19"/>
      <c r="J41" s="19"/>
      <c r="K41" s="19"/>
      <c r="L41" s="18"/>
      <c r="M41" s="18"/>
      <c r="N41" s="18"/>
      <c r="O41" s="18"/>
      <c r="P41" s="18"/>
      <c r="Q41" s="18"/>
      <c r="R41" s="19"/>
      <c r="S41" s="19"/>
      <c r="T41" s="19"/>
      <c r="U41" s="19"/>
      <c r="V41" s="19"/>
      <c r="W41" s="19"/>
      <c r="X41" s="19"/>
      <c r="Y41" s="19"/>
      <c r="Z41" s="19"/>
      <c r="AA41" s="19"/>
      <c r="AB41" s="19"/>
      <c r="AC41" s="19"/>
    </row>
    <row r="42" spans="2:29" x14ac:dyDescent="0.3">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row>
    <row r="43" spans="2:29" x14ac:dyDescent="0.3">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row>
    <row r="44" spans="2:29" x14ac:dyDescent="0.3">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row>
    <row r="45" spans="2:29" x14ac:dyDescent="0.3">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row>
    <row r="46" spans="2:29" x14ac:dyDescent="0.3">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row>
    <row r="47" spans="2:29" x14ac:dyDescent="0.3">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row>
    <row r="48" spans="2:29" x14ac:dyDescent="0.3">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row>
    <row r="49" spans="2:29" x14ac:dyDescent="0.3">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row>
  </sheetData>
  <sheetProtection algorithmName="SHA-512" hashValue="RlhjcusalmeN2ldaU5KNM8t1e9aw0vCPEl2LoQtXwtI9lMaqYVQ8mDrr6Ww0/7jZjFrvuvxstMYW59uqsbXH+A==" saltValue="NgnGSD53H1R331o4weePXw==" spinCount="100000" sheet="1" objects="1" scenarios="1" selectLockedCells="1"/>
  <mergeCells count="6">
    <mergeCell ref="L35:Q35"/>
    <mergeCell ref="M6:M8"/>
    <mergeCell ref="O14:O15"/>
    <mergeCell ref="P14:Q15"/>
    <mergeCell ref="L15:M16"/>
    <mergeCell ref="I21:M21"/>
  </mergeCells>
  <pageMargins left="0.7" right="0.7" top="0.75" bottom="0.75" header="0.3" footer="0.3"/>
  <pageSetup paperSize="9" scale="42"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6F03B993-A8DA-4E99-A47C-DEDE4F341C47}">
  <ds:schemaRefs/>
</ds:datastoreItem>
</file>

<file path=customXml/itemProps2.xml><?xml version="1.0" encoding="utf-8"?>
<ds:datastoreItem xmlns:ds="http://schemas.openxmlformats.org/officeDocument/2006/customXml" ds:itemID="{545419ED-648B-428D-80F9-F2E87C708E5C}">
  <ds:schemaRefs/>
</ds:datastoreItem>
</file>

<file path=customXml/itemProps3.xml><?xml version="1.0" encoding="utf-8"?>
<ds:datastoreItem xmlns:ds="http://schemas.openxmlformats.org/officeDocument/2006/customXml" ds:itemID="{95F80FD6-CDA5-4770-AD3B-D4C72C974D4F}">
  <ds:schemaRefs>
    <ds:schemaRef ds:uri="http://schemas.microsoft.com/DataMashup"/>
  </ds:schemaRefs>
</ds:datastoreItem>
</file>

<file path=customXml/itemProps4.xml><?xml version="1.0" encoding="utf-8"?>
<ds:datastoreItem xmlns:ds="http://schemas.openxmlformats.org/officeDocument/2006/customXml" ds:itemID="{396624D7-662E-43DE-92C9-D15744F4969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Total State,UT</vt:lpstr>
      <vt:lpstr>State,UT</vt:lpstr>
      <vt:lpstr>Pivot Table</vt:lpstr>
      <vt:lpstr>5 Years Trend Dashboard</vt:lpstr>
      <vt:lpstr>Modes &amp; Causes Dashboard</vt:lpstr>
      <vt:lpstr>Profession Education Dashboard</vt:lpstr>
      <vt:lpstr>'5 Years Trend Dashboard'!State</vt:lpstr>
      <vt:lpstr>'Modes &amp; Causes Dashboard'!State</vt:lpstr>
      <vt:lpstr>'Profession Education Dashboard'!State</vt:lpstr>
      <vt:lpstr>State</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RITIKA SINGH</dc:creator>
  <cp:lastModifiedBy>RITIKA SINGH</cp:lastModifiedBy>
  <dcterms:created xsi:type="dcterms:W3CDTF">2024-07-06T14:01:32Z</dcterms:created>
  <dcterms:modified xsi:type="dcterms:W3CDTF">2024-09-17T10:38:43Z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